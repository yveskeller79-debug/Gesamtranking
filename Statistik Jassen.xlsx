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theme/themeOverride4.xml" ContentType="application/vnd.openxmlformats-officedocument.themeOverrid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d543417bde3c84/Jassen/"/>
    </mc:Choice>
  </mc:AlternateContent>
  <xr:revisionPtr revIDLastSave="43" documentId="8_{15F6BD30-91D7-45BC-ABFA-B44D2DB75B11}" xr6:coauthVersionLast="47" xr6:coauthVersionMax="47" xr10:uidLastSave="{8B42F4B3-0815-496A-AA57-809C06B6739F}"/>
  <bookViews>
    <workbookView xWindow="-120" yWindow="-120" windowWidth="38640" windowHeight="21120" xr2:uid="{A8FCF452-0EF5-42A7-A382-1701488C7232}"/>
  </bookViews>
  <sheets>
    <sheet name="Gesamtranking Print" sheetId="4" r:id="rId1"/>
  </sheets>
  <definedNames>
    <definedName name="_xlnm.Print_Area" localSheetId="0">'Gesamtranking Print'!$A$1:$P$109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4" i="4" l="1"/>
  <c r="C113" i="4"/>
  <c r="C112" i="4"/>
  <c r="C111" i="4"/>
  <c r="A112" i="4" l="1"/>
  <c r="A113" i="4"/>
  <c r="A114" i="4"/>
  <c r="A111" i="4" l="1"/>
  <c r="G11" i="4" l="1"/>
  <c r="H11" i="4" s="1"/>
  <c r="G9" i="4"/>
  <c r="H9" i="4" s="1"/>
  <c r="G10" i="4"/>
  <c r="H10" i="4" s="1"/>
  <c r="G8" i="4"/>
  <c r="H8" i="4" l="1"/>
</calcChain>
</file>

<file path=xl/sharedStrings.xml><?xml version="1.0" encoding="utf-8"?>
<sst xmlns="http://schemas.openxmlformats.org/spreadsheetml/2006/main" count="294" uniqueCount="64">
  <si>
    <t>Fuchs</t>
  </si>
  <si>
    <t>Küng</t>
  </si>
  <si>
    <t>Goonse</t>
  </si>
  <si>
    <t>Chäli</t>
  </si>
  <si>
    <t>Spieler</t>
  </si>
  <si>
    <t>Total Punkte</t>
  </si>
  <si>
    <t>Total Spenden</t>
  </si>
  <si>
    <t>Ranking</t>
  </si>
  <si>
    <t>Gesamtwertung</t>
  </si>
  <si>
    <t>Anzahl Pokale</t>
  </si>
  <si>
    <t>ø Anzahl Striche/Abend</t>
  </si>
  <si>
    <t>Total
Striche</t>
  </si>
  <si>
    <t>ø Anzahl Punkte/Abend</t>
  </si>
  <si>
    <t>Total Anzahl Match</t>
  </si>
  <si>
    <t>Total Berg</t>
  </si>
  <si>
    <t>Total Schneider</t>
  </si>
  <si>
    <t>ø Spende/Abend</t>
  </si>
  <si>
    <t>Anz. Tagessiege</t>
  </si>
  <si>
    <t>Übriges</t>
  </si>
  <si>
    <t>Anz. Teilnahmen</t>
  </si>
  <si>
    <t>Strich</t>
  </si>
  <si>
    <t>Pünkt</t>
  </si>
  <si>
    <t>Mätsch</t>
  </si>
  <si>
    <t>Wiise</t>
  </si>
  <si>
    <t>Pokal</t>
  </si>
  <si>
    <t>Anz. Weisen 100er</t>
  </si>
  <si>
    <t>Anz. Weisen 150er</t>
  </si>
  <si>
    <t>Anz. Weisen 200er</t>
  </si>
  <si>
    <t>Total Punkte Weisen*</t>
  </si>
  <si>
    <t>Punkte Weisen 20er*</t>
  </si>
  <si>
    <t>Anzahl Weisen 50er</t>
  </si>
  <si>
    <t>Anzahl Weisen 20er</t>
  </si>
  <si>
    <t>Punkte Weisen 50er*</t>
  </si>
  <si>
    <t>Punkte Weisen 100er*</t>
  </si>
  <si>
    <t>Punkte Weisen 150er*</t>
  </si>
  <si>
    <t>Punkte Weisen 200er*</t>
  </si>
  <si>
    <t>Total Punkte Match*</t>
  </si>
  <si>
    <t>Anzahl Match 1fach</t>
  </si>
  <si>
    <t>Anzahl Match 2fach</t>
  </si>
  <si>
    <t>Anzahl Match 3fach</t>
  </si>
  <si>
    <t>Anzahl Match 4fach</t>
  </si>
  <si>
    <t>Verlauf Anz. Pokale:</t>
  </si>
  <si>
    <t>* die Punkte wurden inkl. dem Multiplikator berechnet</t>
  </si>
  <si>
    <t>Eicheln = 1fach</t>
  </si>
  <si>
    <t xml:space="preserve">Multiplikator: </t>
  </si>
  <si>
    <t>Schelle/Schilte = 2fach</t>
  </si>
  <si>
    <t>Une/Obe = 3fach</t>
  </si>
  <si>
    <t>Rose = 4fach</t>
  </si>
  <si>
    <t>ø Anzahl Punkte/Spiel</t>
  </si>
  <si>
    <t>ø Anzahl Striche/Spiel</t>
  </si>
  <si>
    <t>VH %</t>
  </si>
  <si>
    <t>Total Kontermatch</t>
  </si>
  <si>
    <t>Verlauf Tagessiege</t>
  </si>
  <si>
    <t>Anz. Rundensiege</t>
  </si>
  <si>
    <t>JFK</t>
  </si>
  <si>
    <t>Verlauf Tagessiege (1 = Sieg / 0 = unentschieden o. abwesend / -1 = Niederlage)</t>
  </si>
  <si>
    <t>21.03.</t>
  </si>
  <si>
    <t>Jassstatistik Wädis 2026/2027</t>
  </si>
  <si>
    <t>30.03.</t>
  </si>
  <si>
    <t>11.05.</t>
  </si>
  <si>
    <t>16.05.</t>
  </si>
  <si>
    <t>01.06.</t>
  </si>
  <si>
    <t>08.06.</t>
  </si>
  <si>
    <t>05.06.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</si>
</sst>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"/>
    <numFmt numFmtId="165" formatCode="#,##0.0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2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3" fillId="0" borderId="1" xfId="0" applyFont="1" applyBorder="1" applyAlignment="1">
      <alignment horizontal="center" vertical="top" wrapText="1"/>
    </xf>
    <xf numFmtId="164" fontId="0" fillId="0" borderId="1" xfId="0" applyNumberFormat="1" applyBorder="1" applyAlignment="1">
      <alignment horizontal="center"/>
    </xf>
    <xf numFmtId="0" fontId="3" fillId="0" borderId="1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0" fillId="0" borderId="13" xfId="0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4" fillId="0" borderId="4" xfId="0" applyFont="1" applyBorder="1" applyAlignment="1">
      <alignment horizontal="centerContinuous"/>
    </xf>
    <xf numFmtId="164" fontId="0" fillId="0" borderId="4" xfId="0" applyNumberFormat="1" applyBorder="1" applyAlignment="1">
      <alignment horizontal="center"/>
    </xf>
    <xf numFmtId="0" fontId="0" fillId="0" borderId="9" xfId="0" applyBorder="1"/>
    <xf numFmtId="0" fontId="5" fillId="3" borderId="16" xfId="0" applyFont="1" applyFill="1" applyBorder="1" applyAlignment="1">
      <alignment horizontal="centerContinuous" vertical="center"/>
    </xf>
    <xf numFmtId="0" fontId="5" fillId="3" borderId="17" xfId="0" applyFont="1" applyFill="1" applyBorder="1" applyAlignment="1">
      <alignment horizontal="centerContinuous" vertical="center"/>
    </xf>
    <xf numFmtId="0" fontId="5" fillId="3" borderId="18" xfId="0" applyFont="1" applyFill="1" applyBorder="1" applyAlignment="1">
      <alignment horizontal="centerContinuous" vertical="center"/>
    </xf>
    <xf numFmtId="0" fontId="0" fillId="0" borderId="5" xfId="0" applyBorder="1" applyAlignment="1">
      <alignment horizontal="center"/>
    </xf>
    <xf numFmtId="0" fontId="5" fillId="2" borderId="16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5" fillId="2" borderId="18" xfId="0" applyFont="1" applyFill="1" applyBorder="1" applyAlignment="1">
      <alignment horizontal="centerContinuous" vertical="center"/>
    </xf>
    <xf numFmtId="0" fontId="5" fillId="4" borderId="16" xfId="0" applyFont="1" applyFill="1" applyBorder="1" applyAlignment="1">
      <alignment horizontal="centerContinuous" vertical="center"/>
    </xf>
    <xf numFmtId="0" fontId="5" fillId="4" borderId="17" xfId="0" applyFont="1" applyFill="1" applyBorder="1" applyAlignment="1">
      <alignment horizontal="centerContinuous" vertical="center"/>
    </xf>
    <xf numFmtId="0" fontId="5" fillId="4" borderId="18" xfId="0" applyFont="1" applyFill="1" applyBorder="1" applyAlignment="1">
      <alignment horizontal="centerContinuous" vertical="center"/>
    </xf>
    <xf numFmtId="0" fontId="5" fillId="5" borderId="16" xfId="0" applyFont="1" applyFill="1" applyBorder="1" applyAlignment="1">
      <alignment horizontal="centerContinuous" vertical="center"/>
    </xf>
    <xf numFmtId="0" fontId="5" fillId="5" borderId="17" xfId="0" applyFont="1" applyFill="1" applyBorder="1" applyAlignment="1">
      <alignment horizontal="centerContinuous" vertical="center"/>
    </xf>
    <xf numFmtId="0" fontId="5" fillId="5" borderId="18" xfId="0" applyFont="1" applyFill="1" applyBorder="1" applyAlignment="1">
      <alignment horizontal="centerContinuous" vertical="center"/>
    </xf>
    <xf numFmtId="0" fontId="5" fillId="6" borderId="16" xfId="0" applyFont="1" applyFill="1" applyBorder="1" applyAlignment="1">
      <alignment horizontal="centerContinuous" vertical="center"/>
    </xf>
    <xf numFmtId="0" fontId="5" fillId="6" borderId="17" xfId="0" applyFont="1" applyFill="1" applyBorder="1" applyAlignment="1">
      <alignment horizontal="centerContinuous" vertical="center"/>
    </xf>
    <xf numFmtId="0" fontId="5" fillId="6" borderId="18" xfId="0" applyFont="1" applyFill="1" applyBorder="1" applyAlignment="1">
      <alignment horizontal="centerContinuous" vertical="center"/>
    </xf>
    <xf numFmtId="164" fontId="0" fillId="0" borderId="9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" fillId="0" borderId="4" xfId="0" applyFont="1" applyBorder="1"/>
    <xf numFmtId="165" fontId="0" fillId="0" borderId="1" xfId="0" applyNumberFormat="1" applyBorder="1" applyAlignment="1">
      <alignment horizontal="center"/>
    </xf>
    <xf numFmtId="0" fontId="3" fillId="0" borderId="19" xfId="0" applyFont="1" applyBorder="1" applyAlignment="1">
      <alignment horizontal="center" vertical="top" wrapText="1"/>
    </xf>
    <xf numFmtId="0" fontId="0" fillId="0" borderId="20" xfId="0" applyBorder="1" applyAlignment="1">
      <alignment horizontal="center"/>
    </xf>
    <xf numFmtId="0" fontId="5" fillId="0" borderId="0" xfId="0" applyFont="1"/>
    <xf numFmtId="0" fontId="0" fillId="0" borderId="16" xfId="0" applyBorder="1"/>
    <xf numFmtId="0" fontId="1" fillId="0" borderId="0" xfId="0" applyFont="1"/>
    <xf numFmtId="14" fontId="1" fillId="0" borderId="1" xfId="0" applyNumberFormat="1" applyFont="1" applyBorder="1" applyAlignment="1">
      <alignment horizontal="center"/>
    </xf>
    <xf numFmtId="0" fontId="0" fillId="0" borderId="4" xfId="0" applyBorder="1" applyAlignment="1">
      <alignment horizontal="left"/>
    </xf>
    <xf numFmtId="0" fontId="1" fillId="0" borderId="8" xfId="0" applyFont="1" applyBorder="1" applyAlignment="1">
      <alignment horizontal="centerContinuous" wrapText="1"/>
    </xf>
    <xf numFmtId="0" fontId="1" fillId="0" borderId="9" xfId="0" applyFont="1" applyBorder="1" applyAlignment="1">
      <alignment horizontal="centerContinuous" wrapText="1"/>
    </xf>
    <xf numFmtId="0" fontId="1" fillId="0" borderId="5" xfId="0" applyFont="1" applyBorder="1" applyAlignment="1">
      <alignment horizontal="centerContinuous" wrapText="1"/>
    </xf>
    <xf numFmtId="0" fontId="0" fillId="0" borderId="21" xfId="0" applyBorder="1"/>
    <xf numFmtId="0" fontId="0" fillId="0" borderId="22" xfId="0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14" fontId="1" fillId="0" borderId="1" xfId="0" quotePrefix="1" applyNumberFormat="1" applyFont="1" applyBorder="1" applyAlignment="1">
      <alignment horizontal="center"/>
    </xf>
    <xf numFmtId="0" fontId="3" fillId="0" borderId="24" xfId="0" applyFont="1" applyBorder="1" applyAlignment="1">
      <alignment horizontal="center" vertical="center" wrapText="1"/>
    </xf>
    <xf numFmtId="43" fontId="0" fillId="0" borderId="4" xfId="2" applyFont="1" applyBorder="1"/>
    <xf numFmtId="0" fontId="1" fillId="0" borderId="4" xfId="0" applyFont="1" applyBorder="1"/>
    <xf numFmtId="3" fontId="0" fillId="0" borderId="0" xfId="0" applyNumberFormat="1"/>
    <xf numFmtId="0" fontId="0" fillId="0" borderId="18" xfId="0" applyBorder="1" applyAlignment="1">
      <alignment horizontal="center"/>
    </xf>
    <xf numFmtId="166" fontId="0" fillId="0" borderId="25" xfId="1" applyNumberFormat="1" applyFont="1" applyBorder="1" applyAlignment="1">
      <alignment horizontal="center" vertical="center"/>
    </xf>
    <xf numFmtId="1" fontId="0" fillId="0" borderId="0" xfId="0" applyNumberFormat="1"/>
    <xf numFmtId="1" fontId="0" fillId="0" borderId="2" xfId="0" applyNumberFormat="1" applyBorder="1" applyAlignment="1">
      <alignment horizontal="center"/>
    </xf>
    <xf numFmtId="166" fontId="0" fillId="0" borderId="26" xfId="1" applyNumberFormat="1" applyFont="1" applyBorder="1" applyAlignment="1">
      <alignment horizontal="center" vertical="center"/>
    </xf>
  </cellXfs>
  <cellStyles count="3">
    <cellStyle name="Komma" xfId="2" builtinId="3"/>
    <cellStyle name="Prozent" xfId="1" builtinId="5"/>
    <cellStyle name="Standard" xfId="0" builtinId="0"/>
  </cellStyles>
  <dxfs count="35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de-CH"/>
              <a:t>Pokale im Verlauf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4.5489674111020825E-2"/>
          <c:y val="9.6122718571012303E-2"/>
          <c:w val="0.949209682123068"/>
          <c:h val="0.78828157453384518"/>
        </c:manualLayout>
      </c:layout>
      <c:lineChart>
        <c:grouping val="standard"/>
        <c:varyColors val="0"/>
        <c:ser>
          <c:idx val="0"/>
          <c:order val="0"/>
          <c:tx>
            <c:strRef>
              <c:f>'Gesamtranking Print'!$A$132</c:f>
              <c:strCache>
                <c:ptCount val="1"/>
                <c:pt idx="0">
                  <c:v>Fuchs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'Gesamtranking Print'!$B$131:$AH$131</c:f>
              <c:strCache>
                <c:ptCount val="7"/>
                <c:pt idx="0">
                  <c:v>21.03.</c:v>
                </c:pt>
                <c:pt idx="1">
                  <c:v>30.03.</c:v>
                </c:pt>
                <c:pt idx="2">
                  <c:v>11.05.</c:v>
                </c:pt>
                <c:pt idx="3">
                  <c:v>16.05.</c:v>
                </c:pt>
                <c:pt idx="4">
                  <c:v>01.06.</c:v>
                </c:pt>
                <c:pt idx="5">
                  <c:v>05.06.</c:v>
                </c:pt>
                <c:pt idx="6">
                  <c:v>08.06.</c:v>
                </c:pt>
              </c:strCache>
            </c:strRef>
          </c:cat>
          <c:val>
            <c:numRef>
              <c:f>'Gesamtranking Print'!$B$132:$AH$132</c:f>
              <c:numCache>
                <c:formatCode>General</c:formatCode>
                <c:ptCount val="33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69-4FEE-ABEF-7F481293E56D}"/>
            </c:ext>
          </c:extLst>
        </c:ser>
        <c:ser>
          <c:idx val="1"/>
          <c:order val="1"/>
          <c:tx>
            <c:strRef>
              <c:f>'Gesamtranking Print'!$A$133</c:f>
              <c:strCache>
                <c:ptCount val="1"/>
                <c:pt idx="0">
                  <c:v>Küng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'Gesamtranking Print'!$B$131:$AH$131</c:f>
              <c:strCache>
                <c:ptCount val="7"/>
                <c:pt idx="0">
                  <c:v>21.03.</c:v>
                </c:pt>
                <c:pt idx="1">
                  <c:v>30.03.</c:v>
                </c:pt>
                <c:pt idx="2">
                  <c:v>11.05.</c:v>
                </c:pt>
                <c:pt idx="3">
                  <c:v>16.05.</c:v>
                </c:pt>
                <c:pt idx="4">
                  <c:v>01.06.</c:v>
                </c:pt>
                <c:pt idx="5">
                  <c:v>05.06.</c:v>
                </c:pt>
                <c:pt idx="6">
                  <c:v>08.06.</c:v>
                </c:pt>
              </c:strCache>
            </c:strRef>
          </c:cat>
          <c:val>
            <c:numRef>
              <c:f>'Gesamtranking Print'!$B$133:$AH$133</c:f>
              <c:numCache>
                <c:formatCode>General</c:formatCode>
                <c:ptCount val="33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17</c:v>
                </c:pt>
                <c:pt idx="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69-4FEE-ABEF-7F481293E56D}"/>
            </c:ext>
          </c:extLst>
        </c:ser>
        <c:ser>
          <c:idx val="2"/>
          <c:order val="2"/>
          <c:tx>
            <c:strRef>
              <c:f>'Gesamtranking Print'!$A$134</c:f>
              <c:strCache>
                <c:ptCount val="1"/>
                <c:pt idx="0">
                  <c:v>Goonse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'Gesamtranking Print'!$B$131:$AH$131</c:f>
              <c:strCache>
                <c:ptCount val="7"/>
                <c:pt idx="0">
                  <c:v>21.03.</c:v>
                </c:pt>
                <c:pt idx="1">
                  <c:v>30.03.</c:v>
                </c:pt>
                <c:pt idx="2">
                  <c:v>11.05.</c:v>
                </c:pt>
                <c:pt idx="3">
                  <c:v>16.05.</c:v>
                </c:pt>
                <c:pt idx="4">
                  <c:v>01.06.</c:v>
                </c:pt>
                <c:pt idx="5">
                  <c:v>05.06.</c:v>
                </c:pt>
                <c:pt idx="6">
                  <c:v>08.06.</c:v>
                </c:pt>
              </c:strCache>
            </c:strRef>
          </c:cat>
          <c:val>
            <c:numRef>
              <c:f>'Gesamtranking Print'!$B$134:$AH$134</c:f>
              <c:numCache>
                <c:formatCode>General</c:formatCode>
                <c:ptCount val="33"/>
                <c:pt idx="0">
                  <c:v>14</c:v>
                </c:pt>
                <c:pt idx="1">
                  <c:v>16</c:v>
                </c:pt>
                <c:pt idx="2">
                  <c:v>16</c:v>
                </c:pt>
                <c:pt idx="3">
                  <c:v>13</c:v>
                </c:pt>
                <c:pt idx="4">
                  <c:v>15</c:v>
                </c:pt>
                <c:pt idx="5">
                  <c:v>6</c:v>
                </c:pt>
                <c:pt idx="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69-4FEE-ABEF-7F481293E56D}"/>
            </c:ext>
          </c:extLst>
        </c:ser>
        <c:ser>
          <c:idx val="3"/>
          <c:order val="3"/>
          <c:tx>
            <c:strRef>
              <c:f>'Gesamtranking Print'!$A$135</c:f>
              <c:strCache>
                <c:ptCount val="1"/>
                <c:pt idx="0">
                  <c:v>Chäli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'Gesamtranking Print'!$B$131:$AH$131</c:f>
              <c:strCache>
                <c:ptCount val="7"/>
                <c:pt idx="0">
                  <c:v>21.03.</c:v>
                </c:pt>
                <c:pt idx="1">
                  <c:v>30.03.</c:v>
                </c:pt>
                <c:pt idx="2">
                  <c:v>11.05.</c:v>
                </c:pt>
                <c:pt idx="3">
                  <c:v>16.05.</c:v>
                </c:pt>
                <c:pt idx="4">
                  <c:v>01.06.</c:v>
                </c:pt>
                <c:pt idx="5">
                  <c:v>05.06.</c:v>
                </c:pt>
                <c:pt idx="6">
                  <c:v>08.06.</c:v>
                </c:pt>
              </c:strCache>
            </c:strRef>
          </c:cat>
          <c:val>
            <c:numRef>
              <c:f>'Gesamtranking Print'!$B$135:$AH$135</c:f>
              <c:numCache>
                <c:formatCode>General</c:formatCode>
                <c:ptCount val="33"/>
                <c:pt idx="0">
                  <c:v>22</c:v>
                </c:pt>
                <c:pt idx="1">
                  <c:v>25</c:v>
                </c:pt>
                <c:pt idx="2">
                  <c:v>24</c:v>
                </c:pt>
                <c:pt idx="3">
                  <c:v>14</c:v>
                </c:pt>
                <c:pt idx="4">
                  <c:v>12</c:v>
                </c:pt>
                <c:pt idx="5">
                  <c:v>17</c:v>
                </c:pt>
                <c:pt idx="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69-4FEE-ABEF-7F481293E56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44436968"/>
        <c:axId val="644436640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'Gesamtranking Print'!$A$136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349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5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de-DE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'Gesamtranking Print'!$B$131:$AH$131</c15:sqref>
                        </c15:formulaRef>
                      </c:ext>
                    </c:extLst>
                    <c:strCache>
                      <c:ptCount val="7"/>
                      <c:pt idx="0">
                        <c:v>21.03.</c:v>
                      </c:pt>
                      <c:pt idx="1">
                        <c:v>30.03.</c:v>
                      </c:pt>
                      <c:pt idx="2">
                        <c:v>11.05.</c:v>
                      </c:pt>
                      <c:pt idx="3">
                        <c:v>16.05.</c:v>
                      </c:pt>
                      <c:pt idx="4">
                        <c:v>01.06.</c:v>
                      </c:pt>
                      <c:pt idx="5">
                        <c:v>05.06.</c:v>
                      </c:pt>
                      <c:pt idx="6">
                        <c:v>08.06.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'Gesamtranking Print'!$B$136:$AG$136</c15:sqref>
                        </c15:formulaRef>
                      </c:ext>
                    </c:extLst>
                    <c:numCache>
                      <c:formatCode>General</c:formatCode>
                      <c:ptCount val="3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7F1-416E-9AD8-C9DC6BB14F8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'Gesamtranking Print'!$A$137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34925" cap="rnd">
                    <a:solidFill>
                      <a:schemeClr val="accent6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6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de-DE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'Gesamtranking Print'!$B$131:$AH$131</c15:sqref>
                        </c15:formulaRef>
                      </c:ext>
                    </c:extLst>
                    <c:strCache>
                      <c:ptCount val="7"/>
                      <c:pt idx="0">
                        <c:v>21.03.</c:v>
                      </c:pt>
                      <c:pt idx="1">
                        <c:v>30.03.</c:v>
                      </c:pt>
                      <c:pt idx="2">
                        <c:v>11.05.</c:v>
                      </c:pt>
                      <c:pt idx="3">
                        <c:v>16.05.</c:v>
                      </c:pt>
                      <c:pt idx="4">
                        <c:v>01.06.</c:v>
                      </c:pt>
                      <c:pt idx="5">
                        <c:v>05.06.</c:v>
                      </c:pt>
                      <c:pt idx="6">
                        <c:v>08.06.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'Gesamtranking Print'!$B$137:$AG$137</c15:sqref>
                        </c15:formulaRef>
                      </c:ext>
                    </c:extLst>
                    <c:numCache>
                      <c:formatCode>General</c:formatCode>
                      <c:ptCount val="3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283-4C86-9C03-AF73D97CC03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'Gesamtranking Print'!$A$138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349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1">
                          <a:lumMod val="60000"/>
                        </a:schemeClr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de-DE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'Gesamtranking Print'!$B$131:$AH$131</c15:sqref>
                        </c15:formulaRef>
                      </c:ext>
                    </c:extLst>
                    <c:strCache>
                      <c:ptCount val="7"/>
                      <c:pt idx="0">
                        <c:v>21.03.</c:v>
                      </c:pt>
                      <c:pt idx="1">
                        <c:v>30.03.</c:v>
                      </c:pt>
                      <c:pt idx="2">
                        <c:v>11.05.</c:v>
                      </c:pt>
                      <c:pt idx="3">
                        <c:v>16.05.</c:v>
                      </c:pt>
                      <c:pt idx="4">
                        <c:v>01.06.</c:v>
                      </c:pt>
                      <c:pt idx="5">
                        <c:v>05.06.</c:v>
                      </c:pt>
                      <c:pt idx="6">
                        <c:v>08.06.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'Gesamtranking Print'!$B$138:$AF$138</c15:sqref>
                        </c15:formulaRef>
                      </c:ext>
                    </c:extLst>
                    <c:numCache>
                      <c:formatCode>General</c:formatCode>
                      <c:ptCount val="3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F2CC-4AF5-9B22-9D3BB020E532}"/>
                  </c:ext>
                </c:extLst>
              </c15:ser>
            </c15:filteredLineSeries>
          </c:ext>
        </c:extLst>
      </c:lineChart>
      <c:catAx>
        <c:axId val="644436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4436640"/>
        <c:crosses val="autoZero"/>
        <c:auto val="1"/>
        <c:lblAlgn val="ctr"/>
        <c:lblOffset val="100"/>
        <c:noMultiLvlLbl val="1"/>
      </c:catAx>
      <c:valAx>
        <c:axId val="64443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4436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'Gesamtranking Print'!$A$124</c:f>
              <c:strCache>
                <c:ptCount val="1"/>
                <c:pt idx="0">
                  <c:v>Küng</c:v>
                </c:pt>
              </c:strCache>
            </c:strRef>
          </c:tx>
          <c:marker>
            <c:symbol val="none"/>
          </c:marker>
          <c:cat>
            <c:numRef>
              <c:f>'Gesamtranking Print'!$B$122:$AH$122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'Gesamtranking Print'!$B$124:$AC$124</c:f>
              <c:numCache>
                <c:formatCode>General</c:formatCode>
                <c:ptCount val="28"/>
                <c:pt idx="0">
                  <c:v>-1</c:v>
                </c:pt>
                <c:pt idx="1">
                  <c:v>-1</c:v>
                </c:pt>
                <c:pt idx="2">
                  <c:v>0</c:v>
                </c:pt>
                <c:pt idx="3">
                  <c:v>-1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06-4342-9B19-EA4B4FB4115F}"/>
            </c:ext>
          </c:extLst>
        </c:ser>
        <c:ser>
          <c:idx val="0"/>
          <c:order val="1"/>
          <c:tx>
            <c:strRef>
              <c:f>'Gesamtranking Print'!$A$124</c:f>
              <c:strCache>
                <c:ptCount val="1"/>
                <c:pt idx="0">
                  <c:v>Küng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'Gesamtranking Print'!$B$122:$AH$122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'Gesamtranking Print'!$B$124:$AH$124</c:f>
              <c:numCache>
                <c:formatCode>General</c:formatCode>
                <c:ptCount val="33"/>
                <c:pt idx="0">
                  <c:v>-1</c:v>
                </c:pt>
                <c:pt idx="1">
                  <c:v>-1</c:v>
                </c:pt>
                <c:pt idx="2">
                  <c:v>0</c:v>
                </c:pt>
                <c:pt idx="3">
                  <c:v>-1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06-4342-9B19-EA4B4FB41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845144"/>
        <c:axId val="613844488"/>
      </c:lineChart>
      <c:catAx>
        <c:axId val="613845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3844488"/>
        <c:crosses val="autoZero"/>
        <c:auto val="1"/>
        <c:lblAlgn val="ctr"/>
        <c:lblOffset val="100"/>
        <c:noMultiLvlLbl val="0"/>
      </c:catAx>
      <c:valAx>
        <c:axId val="613844488"/>
        <c:scaling>
          <c:orientation val="minMax"/>
          <c:max val="1"/>
          <c:min val="-1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3845144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'Gesamtranking Print'!$A$125</c:f>
              <c:strCache>
                <c:ptCount val="1"/>
                <c:pt idx="0">
                  <c:v>Goonse</c:v>
                </c:pt>
              </c:strCache>
            </c:strRef>
          </c:tx>
          <c:spPr>
            <a:ln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cat>
            <c:numRef>
              <c:f>'Gesamtranking Print'!$B$122:$AH$122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'Gesamtranking Print'!$B$125:$AC$125</c:f>
              <c:numCache>
                <c:formatCode>General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FA-4586-8ED0-93A2CAB2A8C6}"/>
            </c:ext>
          </c:extLst>
        </c:ser>
        <c:ser>
          <c:idx val="0"/>
          <c:order val="1"/>
          <c:tx>
            <c:strRef>
              <c:f>'Gesamtranking Print'!$A$125</c:f>
              <c:strCache>
                <c:ptCount val="1"/>
                <c:pt idx="0">
                  <c:v>Goonse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'Gesamtranking Print'!$B$122:$AH$122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'Gesamtranking Print'!$B$125:$AH$125</c:f>
              <c:numCache>
                <c:formatCode>General</c:formatCode>
                <c:ptCount val="33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FA-4586-8ED0-93A2CAB2A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845144"/>
        <c:axId val="613844488"/>
      </c:lineChart>
      <c:catAx>
        <c:axId val="613845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3844488"/>
        <c:crosses val="autoZero"/>
        <c:auto val="1"/>
        <c:lblAlgn val="ctr"/>
        <c:lblOffset val="100"/>
        <c:noMultiLvlLbl val="0"/>
      </c:catAx>
      <c:valAx>
        <c:axId val="613844488"/>
        <c:scaling>
          <c:orientation val="minMax"/>
          <c:max val="1"/>
          <c:min val="-1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3845144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'Gesamtranking Print'!$A$126</c:f>
              <c:strCache>
                <c:ptCount val="1"/>
                <c:pt idx="0">
                  <c:v>Chäli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'Gesamtranking Print'!$B$122:$AH$122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'Gesamtranking Print'!$B$126:$AC$126</c:f>
              <c:numCache>
                <c:formatCode>General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-1</c:v>
                </c:pt>
                <c:pt idx="4">
                  <c:v>-1</c:v>
                </c:pt>
                <c:pt idx="5">
                  <c:v>1</c:v>
                </c:pt>
                <c:pt idx="6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64-4672-BFCB-806BAAC15945}"/>
            </c:ext>
          </c:extLst>
        </c:ser>
        <c:ser>
          <c:idx val="0"/>
          <c:order val="1"/>
          <c:tx>
            <c:strRef>
              <c:f>'Gesamtranking Print'!$A$126</c:f>
              <c:strCache>
                <c:ptCount val="1"/>
                <c:pt idx="0">
                  <c:v>Chäli</c:v>
                </c:pt>
              </c:strCache>
            </c:strRef>
          </c:tx>
          <c:spPr>
            <a:ln>
              <a:solidFill>
                <a:srgbClr val="70AD47"/>
              </a:solidFill>
            </a:ln>
          </c:spPr>
          <c:marker>
            <c:symbol val="none"/>
          </c:marker>
          <c:cat>
            <c:numRef>
              <c:f>'Gesamtranking Print'!$B$122:$AH$122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'Gesamtranking Print'!$B$126:$AH$126</c:f>
              <c:numCache>
                <c:formatCode>General</c:formatCode>
                <c:ptCount val="33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-1</c:v>
                </c:pt>
                <c:pt idx="4">
                  <c:v>-1</c:v>
                </c:pt>
                <c:pt idx="5">
                  <c:v>1</c:v>
                </c:pt>
                <c:pt idx="6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64-4672-BFCB-806BAAC15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845144"/>
        <c:axId val="613844488"/>
      </c:lineChart>
      <c:catAx>
        <c:axId val="613845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3844488"/>
        <c:crosses val="autoZero"/>
        <c:auto val="1"/>
        <c:lblAlgn val="ctr"/>
        <c:lblOffset val="100"/>
        <c:noMultiLvlLbl val="0"/>
      </c:catAx>
      <c:valAx>
        <c:axId val="613844488"/>
        <c:scaling>
          <c:orientation val="minMax"/>
          <c:max val="1"/>
          <c:min val="-1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3845144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'Gesamtranking Print'!$A$123</c:f>
              <c:strCache>
                <c:ptCount val="1"/>
                <c:pt idx="0">
                  <c:v>Fuchs</c:v>
                </c:pt>
              </c:strCache>
            </c:strRef>
          </c:tx>
          <c:marker>
            <c:symbol val="none"/>
          </c:marker>
          <c:cat>
            <c:numRef>
              <c:f>'Gesamtranking Print'!$B$122:$AH$122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'Gesamtranking Print'!$B$123:$AC$123</c:f>
              <c:numCache>
                <c:formatCode>General</c:formatCode>
                <c:ptCount val="28"/>
                <c:pt idx="0">
                  <c:v>-1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06-45A4-BE33-691544A75FCB}"/>
            </c:ext>
          </c:extLst>
        </c:ser>
        <c:ser>
          <c:idx val="0"/>
          <c:order val="1"/>
          <c:tx>
            <c:strRef>
              <c:f>'Gesamtranking Print'!$A$123</c:f>
              <c:strCache>
                <c:ptCount val="1"/>
                <c:pt idx="0">
                  <c:v>Fuchs</c:v>
                </c:pt>
              </c:strCache>
            </c:strRef>
          </c:tx>
          <c:marker>
            <c:symbol val="none"/>
          </c:marker>
          <c:cat>
            <c:numRef>
              <c:f>'Gesamtranking Print'!$B$122:$AH$122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'Gesamtranking Print'!$B$123:$AH$123</c:f>
              <c:numCache>
                <c:formatCode>General</c:formatCode>
                <c:ptCount val="33"/>
                <c:pt idx="0">
                  <c:v>-1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06-45A4-BE33-691544A75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845144"/>
        <c:axId val="613844488"/>
      </c:lineChart>
      <c:catAx>
        <c:axId val="613845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3844488"/>
        <c:crosses val="autoZero"/>
        <c:auto val="1"/>
        <c:lblAlgn val="ctr"/>
        <c:lblOffset val="100"/>
        <c:noMultiLvlLbl val="0"/>
      </c:catAx>
      <c:valAx>
        <c:axId val="613844488"/>
        <c:scaling>
          <c:orientation val="minMax"/>
          <c:max val="1"/>
          <c:min val="-1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3845144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104774</xdr:colOff>
      <xdr:row>140</xdr:row>
      <xdr:rowOff>33337</xdr:rowOff>
    </xdr:from>
    <xdr:to>
      <xdr:col>23</xdr:col>
      <xdr:colOff>114300</xdr:colOff>
      <xdr:row>169</xdr:row>
      <xdr:rowOff>180975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552450</xdr:colOff>
      <xdr:row>97</xdr:row>
      <xdr:rowOff>19050</xdr:rowOff>
    </xdr:from>
    <xdr:to>
      <xdr:col>9</xdr:col>
      <xdr:colOff>180976</xdr:colOff>
      <xdr:row>100</xdr:row>
      <xdr:rowOff>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552450</xdr:colOff>
      <xdr:row>100</xdr:row>
      <xdr:rowOff>28575</xdr:rowOff>
    </xdr:from>
    <xdr:to>
      <xdr:col>9</xdr:col>
      <xdr:colOff>180976</xdr:colOff>
      <xdr:row>103</xdr:row>
      <xdr:rowOff>9525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552450</xdr:colOff>
      <xdr:row>103</xdr:row>
      <xdr:rowOff>38100</xdr:rowOff>
    </xdr:from>
    <xdr:to>
      <xdr:col>9</xdr:col>
      <xdr:colOff>180976</xdr:colOff>
      <xdr:row>106</xdr:row>
      <xdr:rowOff>19050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552450</xdr:colOff>
      <xdr:row>94</xdr:row>
      <xdr:rowOff>9525</xdr:rowOff>
    </xdr:from>
    <xdr:to>
      <xdr:col>9</xdr:col>
      <xdr:colOff>180976</xdr:colOff>
      <xdr:row>96</xdr:row>
      <xdr:rowOff>180975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47625</xdr:colOff>
      <xdr:row>4</xdr:row>
      <xdr:rowOff>47625</xdr:rowOff>
    </xdr:from>
    <xdr:to>
      <xdr:col>11</xdr:col>
      <xdr:colOff>200466</xdr:colOff>
      <xdr:row>11</xdr:row>
      <xdr:rowOff>125550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885825"/>
          <a:ext cx="1105341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4</xdr:row>
      <xdr:rowOff>47625</xdr:rowOff>
    </xdr:from>
    <xdr:to>
      <xdr:col>4</xdr:col>
      <xdr:colOff>29016</xdr:colOff>
      <xdr:row>11</xdr:row>
      <xdr:rowOff>125550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904875"/>
          <a:ext cx="1105341" cy="1440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A7BE5-3474-4AC4-BBAF-4E7C6BB88E90}">
  <dimension ref="A1:AH139"/>
  <sheetViews>
    <sheetView tabSelected="1" topLeftCell="A78" zoomScaleNormal="100" workbookViewId="0">
      <selection activeCell="M110" sqref="M110"/>
    </sheetView>
  </sheetViews>
  <sheetFormatPr baseColWidth="10" defaultRowHeight="15" x14ac:dyDescent="0.25"/>
  <cols>
    <col min="1" max="3" width="14.28515625" customWidth="1"/>
    <col min="4" max="4" width="7.85546875" customWidth="1"/>
    <col min="5" max="5" width="7.7109375" customWidth="1"/>
    <col min="6" max="8" width="14.28515625" customWidth="1"/>
    <col min="9" max="9" width="7.85546875" customWidth="1"/>
    <col min="10" max="10" width="7.7109375" customWidth="1"/>
    <col min="11" max="13" width="14.28515625" customWidth="1"/>
    <col min="14" max="16" width="8" customWidth="1"/>
    <col min="17" max="17" width="20.28515625" bestFit="1" customWidth="1"/>
  </cols>
  <sheetData>
    <row r="1" spans="1:17" ht="21" x14ac:dyDescent="0.35">
      <c r="A1" s="43" t="s">
        <v>57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10"/>
      <c r="N1" s="10"/>
      <c r="O1" s="10"/>
      <c r="P1" s="8"/>
      <c r="Q1" s="8"/>
    </row>
    <row r="2" spans="1:17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12"/>
      <c r="M2" s="8"/>
      <c r="N2" s="8"/>
      <c r="O2" s="8"/>
      <c r="P2" s="8"/>
      <c r="Q2" s="8"/>
    </row>
    <row r="3" spans="1:17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12"/>
      <c r="M3" s="8"/>
      <c r="N3" s="8"/>
      <c r="O3" s="8"/>
      <c r="P3" s="8"/>
      <c r="Q3" s="8"/>
    </row>
    <row r="4" spans="1:17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12"/>
      <c r="M4" s="8"/>
      <c r="N4" s="8"/>
      <c r="O4" s="8"/>
      <c r="P4" s="8"/>
      <c r="Q4" s="8"/>
    </row>
    <row r="5" spans="1:17" ht="15.75" x14ac:dyDescent="0.25">
      <c r="A5" s="8"/>
      <c r="B5" s="8"/>
      <c r="C5" s="8"/>
      <c r="D5" s="12"/>
      <c r="E5" s="12"/>
      <c r="F5" s="22" t="s">
        <v>8</v>
      </c>
      <c r="G5" s="22"/>
      <c r="H5" s="22"/>
      <c r="I5" s="22"/>
      <c r="J5" s="9"/>
      <c r="K5" s="8"/>
      <c r="L5" s="12"/>
      <c r="M5" s="8"/>
      <c r="N5" s="8"/>
      <c r="O5" s="8"/>
      <c r="P5" s="8"/>
      <c r="Q5" s="8"/>
    </row>
    <row r="6" spans="1:17" ht="15.75" thickBot="1" x14ac:dyDescent="0.3">
      <c r="A6" s="8"/>
      <c r="B6" s="8"/>
      <c r="C6" s="8"/>
      <c r="D6" s="12"/>
      <c r="E6" s="12"/>
      <c r="F6" s="10"/>
      <c r="G6" s="10"/>
      <c r="H6" s="10"/>
      <c r="I6" s="10"/>
      <c r="J6" s="9"/>
      <c r="K6" s="8"/>
      <c r="L6" s="12"/>
      <c r="M6" s="8"/>
      <c r="N6" s="8"/>
      <c r="O6" s="8"/>
      <c r="P6" s="8"/>
      <c r="Q6" s="8"/>
    </row>
    <row r="7" spans="1:17" x14ac:dyDescent="0.25">
      <c r="A7" s="8"/>
      <c r="B7" s="8"/>
      <c r="C7" s="8"/>
      <c r="D7" s="12"/>
      <c r="E7" s="12"/>
      <c r="F7" s="16" t="s">
        <v>7</v>
      </c>
      <c r="G7" s="17" t="s">
        <v>4</v>
      </c>
      <c r="H7" s="17" t="s">
        <v>9</v>
      </c>
      <c r="I7" s="59" t="s">
        <v>50</v>
      </c>
      <c r="J7" s="9"/>
      <c r="K7" s="8"/>
      <c r="L7" s="12"/>
      <c r="M7" s="8"/>
      <c r="N7" s="8"/>
      <c r="O7" s="8"/>
      <c r="P7" s="8"/>
      <c r="Q7" s="8"/>
    </row>
    <row r="8" spans="1:17" x14ac:dyDescent="0.25">
      <c r="A8" s="8"/>
      <c r="B8" s="8"/>
      <c r="C8" s="8"/>
      <c r="D8" s="12"/>
      <c r="E8" s="12"/>
      <c r="F8" s="19">
        <v>1</v>
      </c>
      <c r="G8" s="2" t="str">
        <f>IFERROR(VLOOKUP(F8,$A$110:$B$118,2,0),"DOPPEL")</f>
        <v>Küng</v>
      </c>
      <c r="H8" s="42">
        <f>SUMIFS($C$111:$C$118,$B$111:$B$118,G8)</f>
        <v>16</v>
      </c>
      <c r="I8" s="64"/>
      <c r="J8" s="9"/>
      <c r="K8" s="8"/>
      <c r="L8" s="12"/>
      <c r="M8" s="8"/>
      <c r="N8" s="8"/>
      <c r="O8" s="8"/>
      <c r="P8" s="8"/>
      <c r="Q8" s="8"/>
    </row>
    <row r="9" spans="1:17" x14ac:dyDescent="0.25">
      <c r="A9" s="8"/>
      <c r="B9" s="8"/>
      <c r="C9" s="8"/>
      <c r="D9" s="12"/>
      <c r="E9" s="12"/>
      <c r="F9" s="19">
        <v>2</v>
      </c>
      <c r="G9" s="2" t="str">
        <f>IFERROR(VLOOKUP(F9,$A$110:$B$118,2,0),"DOPPEL")</f>
        <v>Chäli</v>
      </c>
      <c r="H9" s="42">
        <f>SUMIFS($C$111:$C$118,$B$111:$B$118,G9)</f>
        <v>14</v>
      </c>
      <c r="I9" s="64"/>
      <c r="J9" s="9"/>
      <c r="K9" s="8"/>
      <c r="L9" s="12"/>
      <c r="M9" s="8"/>
      <c r="N9" s="8"/>
      <c r="O9" s="8"/>
      <c r="P9" s="8"/>
      <c r="Q9" s="8"/>
    </row>
    <row r="10" spans="1:17" x14ac:dyDescent="0.25">
      <c r="A10" s="8"/>
      <c r="B10" s="8"/>
      <c r="C10" s="8"/>
      <c r="D10" s="12"/>
      <c r="E10" s="12"/>
      <c r="F10" s="19">
        <v>3</v>
      </c>
      <c r="G10" s="2" t="str">
        <f>IFERROR(VLOOKUP(F10,$A$110:$B$118,2,0),"DOPPEL")</f>
        <v>Goonse</v>
      </c>
      <c r="H10" s="42">
        <f>SUMIFS($C$111:$C$118,$B$111:$B$118,G10)</f>
        <v>6</v>
      </c>
      <c r="I10" s="64"/>
      <c r="J10" s="9"/>
      <c r="K10" s="8"/>
      <c r="L10" s="12"/>
      <c r="M10" s="8"/>
      <c r="N10" s="8"/>
      <c r="O10" s="8"/>
      <c r="P10" s="8"/>
      <c r="Q10" s="8"/>
    </row>
    <row r="11" spans="1:17" ht="15.75" thickBot="1" x14ac:dyDescent="0.3">
      <c r="A11" s="8"/>
      <c r="B11" s="8"/>
      <c r="C11" s="8"/>
      <c r="D11" s="12"/>
      <c r="E11" s="12"/>
      <c r="F11" s="21">
        <v>4</v>
      </c>
      <c r="G11" s="6" t="str">
        <f>IFERROR(VLOOKUP(F11,$A$110:$B$118,2,0),"DOPPEL")</f>
        <v>Fuchs</v>
      </c>
      <c r="H11" s="66">
        <f>SUMIFS($C$111:$C$118,$B$111:$B$118,G11)</f>
        <v>2</v>
      </c>
      <c r="I11" s="67"/>
      <c r="J11" s="9"/>
      <c r="K11" s="8"/>
      <c r="L11" s="12"/>
      <c r="M11" s="8"/>
      <c r="N11" s="8"/>
      <c r="O11" s="8"/>
      <c r="P11" s="8"/>
      <c r="Q11" s="8"/>
    </row>
    <row r="12" spans="1:17" x14ac:dyDescent="0.25">
      <c r="A12" s="8"/>
      <c r="B12" s="8"/>
      <c r="C12" s="8"/>
      <c r="D12" s="8"/>
      <c r="E12" s="8"/>
      <c r="F12" s="8"/>
      <c r="G12" s="11"/>
      <c r="H12" s="8"/>
      <c r="I12" s="8"/>
      <c r="J12" s="8"/>
      <c r="K12" s="8"/>
      <c r="L12" s="12"/>
      <c r="M12" s="8"/>
      <c r="N12" s="8"/>
      <c r="O12" s="8"/>
      <c r="P12" s="8"/>
      <c r="Q12" s="8"/>
    </row>
    <row r="13" spans="1:17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3"/>
      <c r="N13" s="13"/>
      <c r="O13" s="11"/>
      <c r="P13" s="8"/>
      <c r="Q13" s="8"/>
    </row>
    <row r="14" spans="1:17" x14ac:dyDescent="0.25">
      <c r="A14" s="25" t="s">
        <v>20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7"/>
      <c r="N14" s="27"/>
      <c r="O14" s="9"/>
      <c r="P14" s="8"/>
      <c r="Q14" s="8"/>
    </row>
    <row r="15" spans="1:17" x14ac:dyDescent="0.25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3"/>
      <c r="L15" s="13"/>
      <c r="M15" s="13"/>
      <c r="N15" s="13"/>
      <c r="O15" s="8"/>
      <c r="P15" s="8"/>
      <c r="Q15" s="8"/>
    </row>
    <row r="16" spans="1:17" ht="25.5" x14ac:dyDescent="0.25">
      <c r="A16" s="14" t="s">
        <v>7</v>
      </c>
      <c r="B16" s="14" t="s">
        <v>4</v>
      </c>
      <c r="C16" s="14" t="s">
        <v>11</v>
      </c>
      <c r="D16" s="14" t="s">
        <v>24</v>
      </c>
      <c r="E16" s="24"/>
      <c r="F16" s="14" t="s">
        <v>7</v>
      </c>
      <c r="G16" s="14" t="s">
        <v>4</v>
      </c>
      <c r="H16" s="14" t="s">
        <v>14</v>
      </c>
      <c r="I16" s="14" t="s">
        <v>24</v>
      </c>
      <c r="J16" s="24"/>
      <c r="K16" s="14" t="s">
        <v>7</v>
      </c>
      <c r="L16" s="14" t="s">
        <v>4</v>
      </c>
      <c r="M16" s="14" t="s">
        <v>10</v>
      </c>
      <c r="N16" s="14" t="s">
        <v>24</v>
      </c>
      <c r="O16" s="9"/>
      <c r="P16" s="8"/>
      <c r="Q16" s="8"/>
    </row>
    <row r="17" spans="1:19" x14ac:dyDescent="0.25">
      <c r="A17" s="5">
        <v>1</v>
      </c>
      <c r="B17" s="2" t="s">
        <v>1</v>
      </c>
      <c r="C17" s="42">
        <v>45</v>
      </c>
      <c r="D17" s="42">
        <v>1</v>
      </c>
      <c r="E17" s="24"/>
      <c r="F17" s="5">
        <v>1</v>
      </c>
      <c r="G17" s="2" t="s">
        <v>2</v>
      </c>
      <c r="H17" s="42">
        <v>13</v>
      </c>
      <c r="I17" s="42">
        <v>1</v>
      </c>
      <c r="J17" s="24"/>
      <c r="K17" s="5">
        <v>1</v>
      </c>
      <c r="L17" s="2" t="s">
        <v>1</v>
      </c>
      <c r="M17" s="15">
        <v>6.4285714285714288</v>
      </c>
      <c r="N17" s="42">
        <v>1</v>
      </c>
      <c r="O17" s="9"/>
      <c r="P17" s="8"/>
      <c r="Q17" s="8"/>
    </row>
    <row r="18" spans="1:19" x14ac:dyDescent="0.25">
      <c r="A18" s="5">
        <v>2</v>
      </c>
      <c r="B18" s="2" t="s">
        <v>2</v>
      </c>
      <c r="C18" s="42">
        <v>43</v>
      </c>
      <c r="D18" s="42"/>
      <c r="E18" s="24"/>
      <c r="F18" s="5">
        <v>2</v>
      </c>
      <c r="G18" s="2" t="s">
        <v>1</v>
      </c>
      <c r="H18" s="42">
        <v>11</v>
      </c>
      <c r="I18" s="42"/>
      <c r="J18" s="24"/>
      <c r="K18" s="5">
        <v>2</v>
      </c>
      <c r="L18" s="2" t="s">
        <v>2</v>
      </c>
      <c r="M18" s="15">
        <v>6.1428571428571432</v>
      </c>
      <c r="N18" s="42"/>
      <c r="O18" s="9"/>
      <c r="P18" s="8"/>
      <c r="Q18" s="8"/>
    </row>
    <row r="19" spans="1:19" x14ac:dyDescent="0.25">
      <c r="A19" s="5">
        <v>3</v>
      </c>
      <c r="B19" s="2" t="s">
        <v>3</v>
      </c>
      <c r="C19" s="42">
        <v>41</v>
      </c>
      <c r="D19" s="42"/>
      <c r="E19" s="24"/>
      <c r="F19" s="5">
        <v>3</v>
      </c>
      <c r="G19" s="2" t="s">
        <v>3</v>
      </c>
      <c r="H19" s="42">
        <v>10</v>
      </c>
      <c r="I19" s="42"/>
      <c r="J19" s="24"/>
      <c r="K19" s="5">
        <v>3</v>
      </c>
      <c r="L19" s="2" t="s">
        <v>3</v>
      </c>
      <c r="M19" s="15">
        <v>5.8571428571428568</v>
      </c>
      <c r="N19" s="42"/>
      <c r="O19" s="9"/>
      <c r="P19" s="8"/>
      <c r="Q19" s="8"/>
      <c r="S19" s="65"/>
    </row>
    <row r="20" spans="1:19" x14ac:dyDescent="0.25">
      <c r="A20" s="5">
        <v>4</v>
      </c>
      <c r="B20" s="2" t="s">
        <v>0</v>
      </c>
      <c r="C20" s="42">
        <v>25</v>
      </c>
      <c r="D20" s="42"/>
      <c r="E20" s="24"/>
      <c r="F20" s="5">
        <v>4</v>
      </c>
      <c r="G20" s="2" t="s">
        <v>0</v>
      </c>
      <c r="H20" s="42">
        <v>6</v>
      </c>
      <c r="I20" s="42"/>
      <c r="J20" s="24"/>
      <c r="K20" s="5">
        <v>4</v>
      </c>
      <c r="L20" s="2" t="s">
        <v>0</v>
      </c>
      <c r="M20" s="15">
        <v>3.5714285714285716</v>
      </c>
      <c r="N20" s="42"/>
      <c r="O20" s="9"/>
      <c r="P20" s="8"/>
      <c r="Q20" s="8"/>
    </row>
    <row r="21" spans="1:19" x14ac:dyDescent="0.25">
      <c r="A21" s="11"/>
      <c r="B21" s="11"/>
      <c r="C21" s="11"/>
      <c r="D21" s="11"/>
      <c r="E21" s="8"/>
      <c r="F21" s="11"/>
      <c r="G21" s="11"/>
      <c r="H21" s="11"/>
      <c r="I21" s="11"/>
      <c r="J21" s="8"/>
      <c r="K21" s="11"/>
      <c r="L21" s="11"/>
      <c r="M21" s="11"/>
      <c r="N21" s="11"/>
      <c r="O21" s="8"/>
      <c r="P21" s="8"/>
      <c r="Q21" s="8"/>
    </row>
    <row r="22" spans="1:19" ht="25.5" x14ac:dyDescent="0.25">
      <c r="A22" s="14" t="s">
        <v>7</v>
      </c>
      <c r="B22" s="14" t="s">
        <v>4</v>
      </c>
      <c r="C22" s="14" t="s">
        <v>49</v>
      </c>
      <c r="D22" s="14" t="s">
        <v>24</v>
      </c>
      <c r="E22" s="8"/>
      <c r="F22" s="14" t="s">
        <v>7</v>
      </c>
      <c r="G22" s="14" t="s">
        <v>4</v>
      </c>
      <c r="H22" s="14" t="s">
        <v>15</v>
      </c>
      <c r="I22" s="14" t="s">
        <v>24</v>
      </c>
      <c r="J22" s="8"/>
      <c r="K22" s="14" t="s">
        <v>7</v>
      </c>
      <c r="L22" s="14" t="s">
        <v>4</v>
      </c>
      <c r="M22" s="14" t="s">
        <v>51</v>
      </c>
      <c r="N22" s="14" t="s">
        <v>24</v>
      </c>
      <c r="O22" s="8"/>
      <c r="P22" s="8"/>
      <c r="Q22" s="8"/>
    </row>
    <row r="23" spans="1:19" x14ac:dyDescent="0.25">
      <c r="A23" s="5">
        <v>1</v>
      </c>
      <c r="B23" s="2" t="s">
        <v>1</v>
      </c>
      <c r="C23" s="15">
        <v>2.25</v>
      </c>
      <c r="D23" s="42">
        <v>1</v>
      </c>
      <c r="E23" s="24"/>
      <c r="F23" s="5">
        <v>1</v>
      </c>
      <c r="G23" s="2" t="s">
        <v>1</v>
      </c>
      <c r="H23" s="42">
        <v>1</v>
      </c>
      <c r="I23" s="42">
        <v>1</v>
      </c>
      <c r="J23" s="8"/>
      <c r="K23" s="5">
        <v>1</v>
      </c>
      <c r="L23" s="2"/>
      <c r="M23" s="42"/>
      <c r="N23" s="42"/>
      <c r="O23" s="8"/>
      <c r="P23" s="8"/>
      <c r="Q23" s="8"/>
    </row>
    <row r="24" spans="1:19" x14ac:dyDescent="0.25">
      <c r="A24" s="5">
        <v>2</v>
      </c>
      <c r="B24" s="2" t="s">
        <v>2</v>
      </c>
      <c r="C24" s="15">
        <v>2.15</v>
      </c>
      <c r="D24" s="42"/>
      <c r="E24" s="24"/>
      <c r="F24" s="5">
        <v>1</v>
      </c>
      <c r="G24" s="2" t="s">
        <v>3</v>
      </c>
      <c r="H24" s="42">
        <v>1</v>
      </c>
      <c r="I24" s="42">
        <v>1</v>
      </c>
      <c r="J24" s="8"/>
      <c r="K24" s="5">
        <v>2</v>
      </c>
      <c r="L24" s="2"/>
      <c r="M24" s="42"/>
      <c r="N24" s="42"/>
      <c r="O24" s="8"/>
      <c r="P24" s="8"/>
      <c r="Q24" s="8"/>
    </row>
    <row r="25" spans="1:19" x14ac:dyDescent="0.25">
      <c r="A25" s="5">
        <v>3</v>
      </c>
      <c r="B25" s="2" t="s">
        <v>3</v>
      </c>
      <c r="C25" s="15">
        <v>2.0499999999999998</v>
      </c>
      <c r="D25" s="42"/>
      <c r="E25" s="24"/>
      <c r="F25" s="5">
        <v>3</v>
      </c>
      <c r="G25" s="2" t="s">
        <v>0</v>
      </c>
      <c r="H25" s="42">
        <v>0</v>
      </c>
      <c r="I25" s="42"/>
      <c r="J25" s="8"/>
      <c r="K25" s="5">
        <v>3</v>
      </c>
      <c r="L25" s="2"/>
      <c r="M25" s="42"/>
      <c r="N25" s="42"/>
      <c r="O25" s="8"/>
      <c r="P25" s="8"/>
      <c r="Q25" s="8"/>
    </row>
    <row r="26" spans="1:19" x14ac:dyDescent="0.25">
      <c r="A26" s="5">
        <v>4</v>
      </c>
      <c r="B26" s="2" t="s">
        <v>0</v>
      </c>
      <c r="C26" s="15">
        <v>1.25</v>
      </c>
      <c r="D26" s="42"/>
      <c r="E26" s="24"/>
      <c r="F26" s="5">
        <v>4</v>
      </c>
      <c r="G26" s="2" t="s">
        <v>2</v>
      </c>
      <c r="H26" s="42">
        <v>0</v>
      </c>
      <c r="I26" s="42"/>
      <c r="J26" s="8"/>
      <c r="K26" s="5">
        <v>4</v>
      </c>
      <c r="L26" s="2"/>
      <c r="M26" s="42"/>
      <c r="N26" s="42"/>
      <c r="O26" s="8"/>
      <c r="P26" s="8"/>
      <c r="Q26" s="8"/>
    </row>
    <row r="27" spans="1:19" x14ac:dyDescent="0.25">
      <c r="A27" s="28"/>
      <c r="B27" s="8"/>
      <c r="C27" s="23"/>
      <c r="D27" s="41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19" x14ac:dyDescent="0.25">
      <c r="A28" s="29" t="s">
        <v>21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1"/>
      <c r="N28" s="31"/>
      <c r="O28" s="9"/>
      <c r="P28" s="8"/>
      <c r="Q28" s="8"/>
    </row>
    <row r="29" spans="1:19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8"/>
      <c r="P29" s="8"/>
      <c r="Q29" s="8"/>
    </row>
    <row r="30" spans="1:19" ht="25.5" x14ac:dyDescent="0.25">
      <c r="A30" s="14" t="s">
        <v>7</v>
      </c>
      <c r="B30" s="14" t="s">
        <v>4</v>
      </c>
      <c r="C30" s="14" t="s">
        <v>5</v>
      </c>
      <c r="D30" s="14" t="s">
        <v>24</v>
      </c>
      <c r="E30" s="24"/>
      <c r="F30" s="14" t="s">
        <v>7</v>
      </c>
      <c r="G30" s="14" t="s">
        <v>4</v>
      </c>
      <c r="H30" s="14" t="s">
        <v>12</v>
      </c>
      <c r="I30" s="14" t="s">
        <v>24</v>
      </c>
      <c r="J30" s="24"/>
      <c r="K30" s="14" t="s">
        <v>7</v>
      </c>
      <c r="L30" s="14" t="s">
        <v>4</v>
      </c>
      <c r="M30" s="14" t="s">
        <v>48</v>
      </c>
      <c r="N30" s="14" t="s">
        <v>24</v>
      </c>
      <c r="O30" s="8"/>
      <c r="P30" s="8"/>
      <c r="Q30" s="8"/>
    </row>
    <row r="31" spans="1:19" x14ac:dyDescent="0.25">
      <c r="A31" s="5">
        <v>1</v>
      </c>
      <c r="B31" s="2" t="s">
        <v>1</v>
      </c>
      <c r="C31" s="4">
        <v>60953</v>
      </c>
      <c r="D31" s="42">
        <v>1</v>
      </c>
      <c r="E31" s="24"/>
      <c r="F31" s="5">
        <v>1</v>
      </c>
      <c r="G31" s="2" t="s">
        <v>1</v>
      </c>
      <c r="H31" s="4">
        <v>8707.5714285714294</v>
      </c>
      <c r="I31" s="42">
        <v>1</v>
      </c>
      <c r="J31" s="24"/>
      <c r="K31" s="5">
        <v>1</v>
      </c>
      <c r="L31" s="2" t="s">
        <v>1</v>
      </c>
      <c r="M31" s="4">
        <v>3047.65</v>
      </c>
      <c r="N31" s="42">
        <v>1</v>
      </c>
      <c r="O31" s="8"/>
      <c r="P31" s="8"/>
      <c r="Q31" s="8"/>
    </row>
    <row r="32" spans="1:19" x14ac:dyDescent="0.25">
      <c r="A32" s="5">
        <v>2</v>
      </c>
      <c r="B32" s="2" t="s">
        <v>3</v>
      </c>
      <c r="C32" s="4">
        <v>59417</v>
      </c>
      <c r="D32" s="42"/>
      <c r="E32" s="24"/>
      <c r="F32" s="5">
        <v>2</v>
      </c>
      <c r="G32" s="2" t="s">
        <v>3</v>
      </c>
      <c r="H32" s="4">
        <v>8488.1428571428569</v>
      </c>
      <c r="I32" s="42"/>
      <c r="J32" s="24"/>
      <c r="K32" s="5">
        <v>2</v>
      </c>
      <c r="L32" s="2" t="s">
        <v>3</v>
      </c>
      <c r="M32" s="4">
        <v>2970.85</v>
      </c>
      <c r="N32" s="42"/>
      <c r="O32" s="8"/>
      <c r="P32" s="8"/>
      <c r="Q32" s="8"/>
    </row>
    <row r="33" spans="1:19" x14ac:dyDescent="0.25">
      <c r="A33" s="5">
        <v>3</v>
      </c>
      <c r="B33" s="2" t="s">
        <v>2</v>
      </c>
      <c r="C33" s="4">
        <v>59402</v>
      </c>
      <c r="D33" s="42"/>
      <c r="E33" s="24"/>
      <c r="F33" s="5">
        <v>3</v>
      </c>
      <c r="G33" s="2" t="s">
        <v>2</v>
      </c>
      <c r="H33" s="4">
        <v>8486</v>
      </c>
      <c r="I33" s="42"/>
      <c r="J33" s="24"/>
      <c r="K33" s="5">
        <v>3</v>
      </c>
      <c r="L33" s="2" t="s">
        <v>2</v>
      </c>
      <c r="M33" s="4">
        <v>2970.1</v>
      </c>
      <c r="N33" s="42"/>
      <c r="O33" s="8"/>
      <c r="P33" s="8"/>
      <c r="Q33" s="8"/>
      <c r="S33" s="62"/>
    </row>
    <row r="34" spans="1:19" x14ac:dyDescent="0.25">
      <c r="A34" s="5">
        <v>4</v>
      </c>
      <c r="B34" s="2" t="s">
        <v>0</v>
      </c>
      <c r="C34" s="4">
        <v>56562</v>
      </c>
      <c r="D34" s="42"/>
      <c r="E34" s="24"/>
      <c r="F34" s="5">
        <v>4</v>
      </c>
      <c r="G34" s="2" t="s">
        <v>0</v>
      </c>
      <c r="H34" s="4">
        <v>8080.2857142857147</v>
      </c>
      <c r="I34" s="42"/>
      <c r="J34" s="24"/>
      <c r="K34" s="5">
        <v>4</v>
      </c>
      <c r="L34" s="2" t="s">
        <v>0</v>
      </c>
      <c r="M34" s="4">
        <v>2828.1</v>
      </c>
      <c r="N34" s="42"/>
      <c r="O34" s="8"/>
      <c r="P34" s="8"/>
      <c r="Q34" s="8"/>
    </row>
    <row r="35" spans="1:19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9" x14ac:dyDescent="0.25">
      <c r="A36" s="32" t="s">
        <v>22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4"/>
      <c r="N36" s="34"/>
      <c r="O36" s="9"/>
      <c r="P36" s="8"/>
      <c r="Q36" s="8"/>
    </row>
    <row r="37" spans="1:19" x14ac:dyDescent="0.25">
      <c r="A37" s="13"/>
      <c r="B37" s="13"/>
      <c r="C37" s="13"/>
      <c r="D37" s="13"/>
      <c r="E37" s="11"/>
      <c r="F37" s="13"/>
      <c r="G37" s="13"/>
      <c r="H37" s="13"/>
      <c r="I37" s="13"/>
      <c r="J37" s="11"/>
      <c r="K37" s="13"/>
      <c r="L37" s="13"/>
      <c r="M37" s="13"/>
      <c r="N37" s="13"/>
      <c r="O37" s="8"/>
      <c r="P37" s="8"/>
      <c r="Q37" s="8"/>
    </row>
    <row r="38" spans="1:19" ht="25.5" x14ac:dyDescent="0.25">
      <c r="A38" s="14" t="s">
        <v>7</v>
      </c>
      <c r="B38" s="14" t="s">
        <v>4</v>
      </c>
      <c r="C38" s="14" t="s">
        <v>13</v>
      </c>
      <c r="D38" s="14" t="s">
        <v>24</v>
      </c>
      <c r="E38" s="24"/>
      <c r="F38" s="14" t="s">
        <v>7</v>
      </c>
      <c r="G38" s="14" t="s">
        <v>4</v>
      </c>
      <c r="H38" s="14" t="s">
        <v>36</v>
      </c>
      <c r="I38" s="14" t="s">
        <v>24</v>
      </c>
      <c r="J38" s="24"/>
      <c r="K38" s="14" t="s">
        <v>7</v>
      </c>
      <c r="L38" s="14" t="s">
        <v>4</v>
      </c>
      <c r="M38" s="14" t="s">
        <v>37</v>
      </c>
      <c r="N38" s="14" t="s">
        <v>24</v>
      </c>
      <c r="O38" s="8"/>
      <c r="P38" s="8"/>
      <c r="Q38" s="8"/>
    </row>
    <row r="39" spans="1:19" x14ac:dyDescent="0.25">
      <c r="A39" s="5">
        <v>1</v>
      </c>
      <c r="B39" s="2" t="s">
        <v>1</v>
      </c>
      <c r="C39" s="42">
        <v>11</v>
      </c>
      <c r="D39" s="42">
        <v>1</v>
      </c>
      <c r="E39" s="24"/>
      <c r="F39" s="5">
        <v>1</v>
      </c>
      <c r="G39" s="2" t="s">
        <v>1</v>
      </c>
      <c r="H39" s="4">
        <v>8481</v>
      </c>
      <c r="I39" s="42">
        <v>1</v>
      </c>
      <c r="J39" s="24"/>
      <c r="K39" s="5">
        <v>1</v>
      </c>
      <c r="L39" s="2"/>
      <c r="M39" s="42"/>
      <c r="N39" s="42"/>
      <c r="O39" s="8"/>
      <c r="P39" s="8"/>
      <c r="Q39" s="8"/>
    </row>
    <row r="40" spans="1:19" x14ac:dyDescent="0.25">
      <c r="A40" s="5">
        <v>2</v>
      </c>
      <c r="B40" s="2" t="s">
        <v>3</v>
      </c>
      <c r="C40" s="42">
        <v>10</v>
      </c>
      <c r="D40" s="42"/>
      <c r="E40" s="24"/>
      <c r="F40" s="5">
        <v>2</v>
      </c>
      <c r="G40" s="2" t="s">
        <v>3</v>
      </c>
      <c r="H40" s="4">
        <v>6682</v>
      </c>
      <c r="I40" s="42"/>
      <c r="J40" s="24"/>
      <c r="K40" s="5">
        <v>2</v>
      </c>
      <c r="L40" s="2"/>
      <c r="M40" s="42"/>
      <c r="N40" s="42"/>
      <c r="O40" s="8"/>
      <c r="P40" s="8"/>
      <c r="Q40" s="8"/>
    </row>
    <row r="41" spans="1:19" x14ac:dyDescent="0.25">
      <c r="A41" s="5">
        <v>3</v>
      </c>
      <c r="B41" s="2" t="s">
        <v>2</v>
      </c>
      <c r="C41" s="42">
        <v>8</v>
      </c>
      <c r="D41" s="42"/>
      <c r="E41" s="24"/>
      <c r="F41" s="5">
        <v>3</v>
      </c>
      <c r="G41" s="2" t="s">
        <v>2</v>
      </c>
      <c r="H41" s="4">
        <v>6168</v>
      </c>
      <c r="I41" s="42"/>
      <c r="J41" s="24"/>
      <c r="K41" s="5">
        <v>3</v>
      </c>
      <c r="L41" s="2"/>
      <c r="M41" s="42"/>
      <c r="N41" s="42"/>
      <c r="O41" s="8"/>
      <c r="P41" s="8"/>
      <c r="Q41" s="8"/>
    </row>
    <row r="42" spans="1:19" x14ac:dyDescent="0.25">
      <c r="A42" s="5">
        <v>4</v>
      </c>
      <c r="B42" s="2" t="s">
        <v>0</v>
      </c>
      <c r="C42" s="42">
        <v>3</v>
      </c>
      <c r="D42" s="42"/>
      <c r="E42" s="24"/>
      <c r="F42" s="5">
        <v>4</v>
      </c>
      <c r="G42" s="2" t="s">
        <v>0</v>
      </c>
      <c r="H42" s="4">
        <v>2313</v>
      </c>
      <c r="I42" s="42"/>
      <c r="J42" s="24"/>
      <c r="K42" s="5">
        <v>4</v>
      </c>
      <c r="L42" s="2"/>
      <c r="M42" s="42"/>
      <c r="N42" s="42"/>
      <c r="O42" s="8"/>
      <c r="P42" s="8"/>
      <c r="Q42" s="8"/>
    </row>
    <row r="43" spans="1:19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spans="1:19" ht="25.5" x14ac:dyDescent="0.25">
      <c r="A44" s="14" t="s">
        <v>7</v>
      </c>
      <c r="B44" s="14" t="s">
        <v>4</v>
      </c>
      <c r="C44" s="14" t="s">
        <v>38</v>
      </c>
      <c r="D44" s="14" t="s">
        <v>24</v>
      </c>
      <c r="E44" s="24"/>
      <c r="F44" s="14" t="s">
        <v>7</v>
      </c>
      <c r="G44" s="14" t="s">
        <v>4</v>
      </c>
      <c r="H44" s="14" t="s">
        <v>39</v>
      </c>
      <c r="I44" s="14" t="s">
        <v>24</v>
      </c>
      <c r="J44" s="24"/>
      <c r="K44" s="14" t="s">
        <v>7</v>
      </c>
      <c r="L44" s="14" t="s">
        <v>4</v>
      </c>
      <c r="M44" s="14" t="s">
        <v>40</v>
      </c>
      <c r="N44" s="14" t="s">
        <v>24</v>
      </c>
      <c r="O44" s="8"/>
      <c r="P44" s="8"/>
      <c r="Q44" s="8"/>
    </row>
    <row r="45" spans="1:19" x14ac:dyDescent="0.25">
      <c r="A45" s="5">
        <v>1</v>
      </c>
      <c r="B45" s="2" t="s">
        <v>1</v>
      </c>
      <c r="C45" s="42">
        <v>4</v>
      </c>
      <c r="D45" s="42">
        <v>1</v>
      </c>
      <c r="E45" s="24"/>
      <c r="F45" s="5">
        <v>1</v>
      </c>
      <c r="G45" s="2" t="s">
        <v>3</v>
      </c>
      <c r="H45" s="42">
        <v>6</v>
      </c>
      <c r="I45" s="42">
        <v>1</v>
      </c>
      <c r="J45" s="24"/>
      <c r="K45" s="5">
        <v>1</v>
      </c>
      <c r="L45" s="2" t="s">
        <v>1</v>
      </c>
      <c r="M45" s="42">
        <v>4</v>
      </c>
      <c r="N45" s="42">
        <v>1</v>
      </c>
      <c r="O45" s="8"/>
      <c r="P45" s="8"/>
      <c r="Q45" s="8"/>
    </row>
    <row r="46" spans="1:19" x14ac:dyDescent="0.25">
      <c r="A46" s="5">
        <v>1</v>
      </c>
      <c r="B46" s="2" t="s">
        <v>3</v>
      </c>
      <c r="C46" s="42">
        <v>4</v>
      </c>
      <c r="D46" s="42">
        <v>1</v>
      </c>
      <c r="E46" s="24"/>
      <c r="F46" s="5">
        <v>2</v>
      </c>
      <c r="G46" s="2" t="s">
        <v>1</v>
      </c>
      <c r="H46" s="42">
        <v>3</v>
      </c>
      <c r="I46" s="42"/>
      <c r="J46" s="24"/>
      <c r="K46" s="5">
        <v>2</v>
      </c>
      <c r="L46" s="2" t="s">
        <v>2</v>
      </c>
      <c r="M46" s="42">
        <v>3</v>
      </c>
      <c r="N46" s="42"/>
      <c r="O46" s="8"/>
      <c r="P46" s="8"/>
      <c r="Q46" s="8"/>
    </row>
    <row r="47" spans="1:19" x14ac:dyDescent="0.25">
      <c r="A47" s="5">
        <v>3</v>
      </c>
      <c r="B47" s="2" t="s">
        <v>2</v>
      </c>
      <c r="C47" s="42">
        <v>3</v>
      </c>
      <c r="D47" s="42"/>
      <c r="E47" s="24"/>
      <c r="F47" s="5">
        <v>3</v>
      </c>
      <c r="G47" s="2" t="s">
        <v>2</v>
      </c>
      <c r="H47" s="42">
        <v>2</v>
      </c>
      <c r="I47" s="42"/>
      <c r="J47" s="24"/>
      <c r="K47" s="5">
        <v>3</v>
      </c>
      <c r="L47" s="2" t="s">
        <v>0</v>
      </c>
      <c r="M47" s="42">
        <v>1</v>
      </c>
      <c r="N47" s="42"/>
      <c r="O47" s="8"/>
      <c r="P47" s="8"/>
      <c r="Q47" s="8"/>
    </row>
    <row r="48" spans="1:19" x14ac:dyDescent="0.25">
      <c r="A48" s="5">
        <v>4</v>
      </c>
      <c r="B48" s="2" t="s">
        <v>0</v>
      </c>
      <c r="C48" s="42">
        <v>1</v>
      </c>
      <c r="D48" s="42"/>
      <c r="E48" s="24"/>
      <c r="F48" s="5">
        <v>4</v>
      </c>
      <c r="G48" s="2" t="s">
        <v>0</v>
      </c>
      <c r="H48" s="42">
        <v>1</v>
      </c>
      <c r="I48" s="42"/>
      <c r="J48" s="24"/>
      <c r="K48" s="5">
        <v>4</v>
      </c>
      <c r="L48" s="2" t="s">
        <v>3</v>
      </c>
      <c r="M48" s="42">
        <v>0</v>
      </c>
      <c r="N48" s="42"/>
      <c r="O48" s="8"/>
      <c r="P48" s="8"/>
      <c r="Q48" s="8"/>
    </row>
    <row r="49" spans="1:17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1:17" x14ac:dyDescent="0.25">
      <c r="A50" s="35" t="s">
        <v>23</v>
      </c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7"/>
      <c r="N50" s="37"/>
      <c r="O50" s="9"/>
      <c r="P50" s="8"/>
      <c r="Q50" s="8"/>
    </row>
    <row r="51" spans="1:17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8"/>
      <c r="P51" s="8"/>
      <c r="Q51" s="8"/>
    </row>
    <row r="52" spans="1:17" ht="25.5" x14ac:dyDescent="0.25">
      <c r="A52" s="14" t="s">
        <v>7</v>
      </c>
      <c r="B52" s="14" t="s">
        <v>4</v>
      </c>
      <c r="C52" s="14" t="s">
        <v>28</v>
      </c>
      <c r="D52" s="14" t="s">
        <v>24</v>
      </c>
      <c r="E52" s="24"/>
      <c r="F52" s="14" t="s">
        <v>7</v>
      </c>
      <c r="G52" s="14" t="s">
        <v>4</v>
      </c>
      <c r="H52" s="14" t="s">
        <v>31</v>
      </c>
      <c r="I52" s="14" t="s">
        <v>24</v>
      </c>
      <c r="J52" s="24"/>
      <c r="K52" s="14" t="s">
        <v>7</v>
      </c>
      <c r="L52" s="14" t="s">
        <v>4</v>
      </c>
      <c r="M52" s="14" t="s">
        <v>29</v>
      </c>
      <c r="N52" s="14" t="s">
        <v>24</v>
      </c>
      <c r="O52" s="8"/>
      <c r="P52" s="8"/>
      <c r="Q52" s="8"/>
    </row>
    <row r="53" spans="1:17" x14ac:dyDescent="0.25">
      <c r="A53" s="5">
        <v>1</v>
      </c>
      <c r="B53" s="2" t="s">
        <v>3</v>
      </c>
      <c r="C53" s="4">
        <v>6610</v>
      </c>
      <c r="D53" s="42">
        <v>1</v>
      </c>
      <c r="E53" s="24"/>
      <c r="F53" s="5">
        <v>1</v>
      </c>
      <c r="G53" s="2" t="s">
        <v>3</v>
      </c>
      <c r="H53" s="42">
        <v>44</v>
      </c>
      <c r="I53" s="42">
        <v>1</v>
      </c>
      <c r="J53" s="24"/>
      <c r="K53" s="5">
        <v>1</v>
      </c>
      <c r="L53" s="2" t="s">
        <v>3</v>
      </c>
      <c r="M53" s="4">
        <v>2460</v>
      </c>
      <c r="N53" s="42">
        <v>1</v>
      </c>
      <c r="O53" s="8"/>
      <c r="P53" s="8"/>
      <c r="Q53" s="8"/>
    </row>
    <row r="54" spans="1:17" x14ac:dyDescent="0.25">
      <c r="A54" s="5">
        <v>2</v>
      </c>
      <c r="B54" s="2" t="s">
        <v>0</v>
      </c>
      <c r="C54" s="4">
        <v>4620</v>
      </c>
      <c r="D54" s="42"/>
      <c r="E54" s="24"/>
      <c r="F54" s="5">
        <v>2</v>
      </c>
      <c r="G54" s="2" t="s">
        <v>0</v>
      </c>
      <c r="H54" s="42">
        <v>42</v>
      </c>
      <c r="I54" s="42"/>
      <c r="J54" s="24"/>
      <c r="K54" s="5">
        <v>2</v>
      </c>
      <c r="L54" s="2" t="s">
        <v>0</v>
      </c>
      <c r="M54" s="4">
        <v>2420</v>
      </c>
      <c r="N54" s="42"/>
      <c r="O54" s="8"/>
      <c r="P54" s="8"/>
      <c r="Q54" s="8"/>
    </row>
    <row r="55" spans="1:17" x14ac:dyDescent="0.25">
      <c r="A55" s="5">
        <v>3</v>
      </c>
      <c r="B55" s="2" t="s">
        <v>2</v>
      </c>
      <c r="C55" s="4">
        <v>4460</v>
      </c>
      <c r="D55" s="42"/>
      <c r="E55" s="24"/>
      <c r="F55" s="5">
        <v>3</v>
      </c>
      <c r="G55" s="2" t="s">
        <v>2</v>
      </c>
      <c r="H55" s="42">
        <v>37</v>
      </c>
      <c r="I55" s="42"/>
      <c r="J55" s="24"/>
      <c r="K55" s="5">
        <v>3</v>
      </c>
      <c r="L55" s="2" t="s">
        <v>2</v>
      </c>
      <c r="M55" s="4">
        <v>2160</v>
      </c>
      <c r="N55" s="42"/>
      <c r="O55" s="8"/>
      <c r="P55" s="8"/>
      <c r="Q55" s="8"/>
    </row>
    <row r="56" spans="1:17" x14ac:dyDescent="0.25">
      <c r="A56" s="5">
        <v>4</v>
      </c>
      <c r="B56" s="2" t="s">
        <v>1</v>
      </c>
      <c r="C56" s="4">
        <v>4040</v>
      </c>
      <c r="D56" s="42"/>
      <c r="E56" s="24"/>
      <c r="F56" s="5">
        <v>4</v>
      </c>
      <c r="G56" s="2" t="s">
        <v>1</v>
      </c>
      <c r="H56" s="42">
        <v>34</v>
      </c>
      <c r="I56" s="42"/>
      <c r="J56" s="24"/>
      <c r="K56" s="5">
        <v>4</v>
      </c>
      <c r="L56" s="2" t="s">
        <v>1</v>
      </c>
      <c r="M56" s="4">
        <v>1940</v>
      </c>
      <c r="N56" s="42"/>
      <c r="O56" s="8"/>
      <c r="P56" s="8"/>
      <c r="Q56" s="8"/>
    </row>
    <row r="57" spans="1:17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7" ht="25.5" x14ac:dyDescent="0.25">
      <c r="A58" s="14" t="s">
        <v>7</v>
      </c>
      <c r="B58" s="14" t="s">
        <v>4</v>
      </c>
      <c r="C58" s="14" t="s">
        <v>30</v>
      </c>
      <c r="D58" s="14" t="s">
        <v>24</v>
      </c>
      <c r="E58" s="24"/>
      <c r="F58" s="14" t="s">
        <v>7</v>
      </c>
      <c r="G58" s="14" t="s">
        <v>4</v>
      </c>
      <c r="H58" s="14" t="s">
        <v>32</v>
      </c>
      <c r="I58" s="14" t="s">
        <v>24</v>
      </c>
      <c r="J58" s="24"/>
      <c r="K58" s="14" t="s">
        <v>7</v>
      </c>
      <c r="L58" s="14" t="s">
        <v>4</v>
      </c>
      <c r="M58" s="14" t="s">
        <v>25</v>
      </c>
      <c r="N58" s="14" t="s">
        <v>24</v>
      </c>
      <c r="O58" s="8"/>
      <c r="P58" s="8"/>
      <c r="Q58" s="8"/>
    </row>
    <row r="59" spans="1:17" x14ac:dyDescent="0.25">
      <c r="A59" s="5">
        <v>1</v>
      </c>
      <c r="B59" s="2" t="s">
        <v>3</v>
      </c>
      <c r="C59" s="42">
        <v>12</v>
      </c>
      <c r="D59" s="42">
        <v>1</v>
      </c>
      <c r="E59" s="24"/>
      <c r="F59" s="5">
        <v>1</v>
      </c>
      <c r="G59" s="2" t="s">
        <v>3</v>
      </c>
      <c r="H59" s="4">
        <v>1400</v>
      </c>
      <c r="I59" s="42">
        <v>1</v>
      </c>
      <c r="J59" s="24"/>
      <c r="K59" s="5">
        <v>1</v>
      </c>
      <c r="L59" s="2" t="s">
        <v>0</v>
      </c>
      <c r="M59" s="42">
        <v>5</v>
      </c>
      <c r="N59" s="42">
        <v>1</v>
      </c>
      <c r="O59" s="8"/>
      <c r="P59" s="8"/>
      <c r="Q59" s="8"/>
    </row>
    <row r="60" spans="1:17" x14ac:dyDescent="0.25">
      <c r="A60" s="5">
        <v>2</v>
      </c>
      <c r="B60" s="2" t="s">
        <v>0</v>
      </c>
      <c r="C60" s="42">
        <v>6</v>
      </c>
      <c r="D60" s="42"/>
      <c r="E60" s="24"/>
      <c r="F60" s="5">
        <v>2</v>
      </c>
      <c r="G60" s="2" t="s">
        <v>0</v>
      </c>
      <c r="H60" s="4">
        <v>900</v>
      </c>
      <c r="I60" s="42"/>
      <c r="J60" s="24"/>
      <c r="K60" s="5">
        <v>1</v>
      </c>
      <c r="L60" s="2" t="s">
        <v>3</v>
      </c>
      <c r="M60" s="42">
        <v>5</v>
      </c>
      <c r="N60" s="42">
        <v>1</v>
      </c>
      <c r="O60" s="8"/>
      <c r="P60" s="8"/>
      <c r="Q60" s="8"/>
    </row>
    <row r="61" spans="1:17" x14ac:dyDescent="0.25">
      <c r="A61" s="5">
        <v>2</v>
      </c>
      <c r="B61" s="2" t="s">
        <v>1</v>
      </c>
      <c r="C61" s="42">
        <v>6</v>
      </c>
      <c r="D61" s="42"/>
      <c r="E61" s="24"/>
      <c r="F61" s="5">
        <v>3</v>
      </c>
      <c r="G61" s="2" t="s">
        <v>1</v>
      </c>
      <c r="H61" s="4">
        <v>800</v>
      </c>
      <c r="I61" s="42"/>
      <c r="J61" s="24"/>
      <c r="K61" s="5">
        <v>3</v>
      </c>
      <c r="L61" s="2" t="s">
        <v>1</v>
      </c>
      <c r="M61" s="42">
        <v>4</v>
      </c>
      <c r="N61" s="42"/>
      <c r="O61" s="8"/>
      <c r="P61" s="8"/>
      <c r="Q61" s="8"/>
    </row>
    <row r="62" spans="1:17" x14ac:dyDescent="0.25">
      <c r="A62" s="5">
        <v>4</v>
      </c>
      <c r="B62" s="2" t="s">
        <v>2</v>
      </c>
      <c r="C62" s="42">
        <v>5</v>
      </c>
      <c r="D62" s="42"/>
      <c r="E62" s="24"/>
      <c r="F62" s="5">
        <v>4</v>
      </c>
      <c r="G62" s="2" t="s">
        <v>2</v>
      </c>
      <c r="H62" s="4">
        <v>500</v>
      </c>
      <c r="I62" s="42"/>
      <c r="J62" s="24"/>
      <c r="K62" s="5">
        <v>4</v>
      </c>
      <c r="L62" s="2" t="s">
        <v>2</v>
      </c>
      <c r="M62" s="42">
        <v>2</v>
      </c>
      <c r="N62" s="42"/>
      <c r="O62" s="8"/>
      <c r="P62" s="8"/>
      <c r="Q62" s="8"/>
    </row>
    <row r="63" spans="1:17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</row>
    <row r="64" spans="1:17" ht="25.5" x14ac:dyDescent="0.25">
      <c r="A64" s="14" t="s">
        <v>7</v>
      </c>
      <c r="B64" s="14" t="s">
        <v>4</v>
      </c>
      <c r="C64" s="14" t="s">
        <v>33</v>
      </c>
      <c r="D64" s="14" t="s">
        <v>24</v>
      </c>
      <c r="E64" s="24"/>
      <c r="F64" s="14" t="s">
        <v>7</v>
      </c>
      <c r="G64" s="14" t="s">
        <v>4</v>
      </c>
      <c r="H64" s="14" t="s">
        <v>26</v>
      </c>
      <c r="I64" s="14" t="s">
        <v>24</v>
      </c>
      <c r="J64" s="24"/>
      <c r="K64" s="14" t="s">
        <v>7</v>
      </c>
      <c r="L64" s="14" t="s">
        <v>4</v>
      </c>
      <c r="M64" s="14" t="s">
        <v>34</v>
      </c>
      <c r="N64" s="14" t="s">
        <v>24</v>
      </c>
      <c r="O64" s="8"/>
      <c r="P64" s="8"/>
      <c r="Q64" s="8"/>
    </row>
    <row r="65" spans="1:17" x14ac:dyDescent="0.25">
      <c r="A65" s="5">
        <v>1</v>
      </c>
      <c r="B65" s="2" t="s">
        <v>3</v>
      </c>
      <c r="C65" s="4">
        <v>1400</v>
      </c>
      <c r="D65" s="42">
        <v>1</v>
      </c>
      <c r="E65" s="24"/>
      <c r="F65" s="5">
        <v>1</v>
      </c>
      <c r="G65" s="2" t="s">
        <v>3</v>
      </c>
      <c r="H65" s="42">
        <v>3</v>
      </c>
      <c r="I65" s="42">
        <v>1</v>
      </c>
      <c r="J65" s="24"/>
      <c r="K65" s="5">
        <v>1</v>
      </c>
      <c r="L65" s="2" t="s">
        <v>3</v>
      </c>
      <c r="M65" s="4">
        <v>1350</v>
      </c>
      <c r="N65" s="42">
        <v>1</v>
      </c>
      <c r="O65" s="8"/>
      <c r="P65" s="8"/>
      <c r="Q65" s="8"/>
    </row>
    <row r="66" spans="1:17" x14ac:dyDescent="0.25">
      <c r="A66" s="5">
        <v>2</v>
      </c>
      <c r="B66" s="2" t="s">
        <v>0</v>
      </c>
      <c r="C66" s="4">
        <v>1300</v>
      </c>
      <c r="D66" s="42"/>
      <c r="E66" s="24"/>
      <c r="F66" s="5">
        <v>2</v>
      </c>
      <c r="G66" s="2" t="s">
        <v>2</v>
      </c>
      <c r="H66" s="42">
        <v>1</v>
      </c>
      <c r="I66" s="42"/>
      <c r="J66" s="24"/>
      <c r="K66" s="5">
        <v>2</v>
      </c>
      <c r="L66" s="2" t="s">
        <v>2</v>
      </c>
      <c r="M66" s="4">
        <v>600</v>
      </c>
      <c r="N66" s="42"/>
      <c r="O66" s="8"/>
      <c r="P66" s="8"/>
      <c r="Q66" s="8"/>
    </row>
    <row r="67" spans="1:17" x14ac:dyDescent="0.25">
      <c r="A67" s="5">
        <v>2</v>
      </c>
      <c r="B67" s="2" t="s">
        <v>1</v>
      </c>
      <c r="C67" s="4">
        <v>1300</v>
      </c>
      <c r="D67" s="42"/>
      <c r="E67" s="24"/>
      <c r="F67" s="5">
        <v>3</v>
      </c>
      <c r="G67" s="2" t="s">
        <v>0</v>
      </c>
      <c r="H67" s="42">
        <v>0</v>
      </c>
      <c r="I67" s="42"/>
      <c r="J67" s="24"/>
      <c r="K67" s="5">
        <v>3</v>
      </c>
      <c r="L67" s="2" t="s">
        <v>0</v>
      </c>
      <c r="M67" s="4">
        <v>0</v>
      </c>
      <c r="N67" s="42"/>
      <c r="O67" s="8"/>
      <c r="P67" s="8"/>
      <c r="Q67" s="8"/>
    </row>
    <row r="68" spans="1:17" x14ac:dyDescent="0.25">
      <c r="A68" s="5">
        <v>4</v>
      </c>
      <c r="B68" s="2" t="s">
        <v>2</v>
      </c>
      <c r="C68" s="4">
        <v>600</v>
      </c>
      <c r="D68" s="42"/>
      <c r="E68" s="24"/>
      <c r="F68" s="5">
        <v>3</v>
      </c>
      <c r="G68" s="2" t="s">
        <v>1</v>
      </c>
      <c r="H68" s="42">
        <v>0</v>
      </c>
      <c r="I68" s="42"/>
      <c r="J68" s="24"/>
      <c r="K68" s="5">
        <v>3</v>
      </c>
      <c r="L68" s="2" t="s">
        <v>1</v>
      </c>
      <c r="M68" s="4">
        <v>0</v>
      </c>
      <c r="N68" s="42"/>
      <c r="O68" s="8"/>
      <c r="P68" s="8"/>
      <c r="Q68" s="8"/>
    </row>
    <row r="69" spans="1:17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</row>
    <row r="70" spans="1:17" ht="25.5" customHeight="1" x14ac:dyDescent="0.25">
      <c r="A70" s="14" t="s">
        <v>7</v>
      </c>
      <c r="B70" s="14" t="s">
        <v>4</v>
      </c>
      <c r="C70" s="14" t="s">
        <v>27</v>
      </c>
      <c r="D70" s="14" t="s">
        <v>24</v>
      </c>
      <c r="E70" s="24"/>
      <c r="F70" s="14" t="s">
        <v>7</v>
      </c>
      <c r="G70" s="14" t="s">
        <v>4</v>
      </c>
      <c r="H70" s="14" t="s">
        <v>35</v>
      </c>
      <c r="I70" s="14" t="s">
        <v>24</v>
      </c>
      <c r="J70" s="24"/>
      <c r="K70" s="52" t="s">
        <v>42</v>
      </c>
      <c r="L70" s="53"/>
      <c r="M70" s="53"/>
      <c r="N70" s="54"/>
      <c r="O70" s="8"/>
      <c r="P70" s="8"/>
      <c r="Q70" s="8"/>
    </row>
    <row r="71" spans="1:17" x14ac:dyDescent="0.25">
      <c r="A71" s="5">
        <v>1</v>
      </c>
      <c r="B71" s="2" t="s">
        <v>2</v>
      </c>
      <c r="C71" s="42">
        <v>1</v>
      </c>
      <c r="D71" s="42">
        <v>1</v>
      </c>
      <c r="E71" s="24"/>
      <c r="F71" s="5">
        <v>1</v>
      </c>
      <c r="G71" s="2" t="s">
        <v>2</v>
      </c>
      <c r="H71" s="4">
        <v>600</v>
      </c>
      <c r="I71" s="42">
        <v>1</v>
      </c>
      <c r="J71" s="24"/>
      <c r="K71" s="51" t="s">
        <v>44</v>
      </c>
      <c r="L71" s="51" t="s">
        <v>43</v>
      </c>
      <c r="M71" s="51"/>
      <c r="N71" s="51"/>
      <c r="O71" s="8"/>
      <c r="P71" s="8"/>
      <c r="Q71" s="8"/>
    </row>
    <row r="72" spans="1:17" x14ac:dyDescent="0.25">
      <c r="A72" s="5">
        <v>2</v>
      </c>
      <c r="B72" s="2" t="s">
        <v>0</v>
      </c>
      <c r="C72" s="42">
        <v>0</v>
      </c>
      <c r="D72" s="42"/>
      <c r="E72" s="24"/>
      <c r="F72" s="5">
        <v>2</v>
      </c>
      <c r="G72" s="2" t="s">
        <v>0</v>
      </c>
      <c r="H72" s="4">
        <v>0</v>
      </c>
      <c r="I72" s="42"/>
      <c r="J72" s="24"/>
      <c r="K72" s="51"/>
      <c r="L72" s="51" t="s">
        <v>45</v>
      </c>
      <c r="M72" s="51"/>
      <c r="N72" s="51"/>
      <c r="O72" s="8"/>
      <c r="P72" s="8"/>
      <c r="Q72" s="8"/>
    </row>
    <row r="73" spans="1:17" x14ac:dyDescent="0.25">
      <c r="A73" s="5">
        <v>2</v>
      </c>
      <c r="B73" s="2" t="s">
        <v>3</v>
      </c>
      <c r="C73" s="42">
        <v>0</v>
      </c>
      <c r="D73" s="42"/>
      <c r="E73" s="24"/>
      <c r="F73" s="5">
        <v>2</v>
      </c>
      <c r="G73" s="2" t="s">
        <v>3</v>
      </c>
      <c r="H73" s="4">
        <v>0</v>
      </c>
      <c r="I73" s="42"/>
      <c r="J73" s="24"/>
      <c r="K73" s="51"/>
      <c r="L73" s="51" t="s">
        <v>46</v>
      </c>
      <c r="M73" s="51"/>
      <c r="N73" s="51"/>
      <c r="O73" s="8"/>
      <c r="P73" s="8"/>
      <c r="Q73" s="8"/>
    </row>
    <row r="74" spans="1:17" x14ac:dyDescent="0.25">
      <c r="A74" s="5">
        <v>2</v>
      </c>
      <c r="B74" s="2" t="s">
        <v>1</v>
      </c>
      <c r="C74" s="42">
        <v>0</v>
      </c>
      <c r="D74" s="42"/>
      <c r="E74" s="24"/>
      <c r="F74" s="5">
        <v>2</v>
      </c>
      <c r="G74" s="2" t="s">
        <v>1</v>
      </c>
      <c r="H74" s="4">
        <v>0</v>
      </c>
      <c r="I74" s="42"/>
      <c r="J74" s="24"/>
      <c r="K74" s="51"/>
      <c r="L74" s="51" t="s">
        <v>47</v>
      </c>
      <c r="M74" s="51"/>
      <c r="N74" s="51"/>
      <c r="O74" s="8"/>
      <c r="P74" s="8"/>
      <c r="Q74" s="8"/>
    </row>
    <row r="75" spans="1:17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</row>
    <row r="76" spans="1:17" x14ac:dyDescent="0.25">
      <c r="A76" s="38" t="s">
        <v>18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40"/>
      <c r="N76" s="40"/>
      <c r="O76" s="9"/>
      <c r="P76" s="8"/>
      <c r="Q76" s="8"/>
    </row>
    <row r="77" spans="1:17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8"/>
      <c r="P77" s="8"/>
      <c r="Q77" s="8"/>
    </row>
    <row r="78" spans="1:17" ht="25.5" x14ac:dyDescent="0.25">
      <c r="A78" s="14" t="s">
        <v>7</v>
      </c>
      <c r="B78" s="14" t="s">
        <v>4</v>
      </c>
      <c r="C78" s="14" t="s">
        <v>17</v>
      </c>
      <c r="D78" s="14" t="s">
        <v>24</v>
      </c>
      <c r="E78" s="24"/>
      <c r="F78" s="14" t="s">
        <v>7</v>
      </c>
      <c r="G78" s="14" t="s">
        <v>4</v>
      </c>
      <c r="H78" s="14" t="s">
        <v>19</v>
      </c>
      <c r="I78" s="14" t="s">
        <v>24</v>
      </c>
      <c r="J78" s="24"/>
      <c r="K78" s="14" t="s">
        <v>7</v>
      </c>
      <c r="L78" s="14" t="s">
        <v>4</v>
      </c>
      <c r="M78" s="14" t="s">
        <v>6</v>
      </c>
      <c r="N78" s="14" t="s">
        <v>24</v>
      </c>
      <c r="O78" s="8"/>
      <c r="P78" s="8"/>
      <c r="Q78" s="8"/>
    </row>
    <row r="79" spans="1:17" x14ac:dyDescent="0.25">
      <c r="A79" s="5">
        <v>1</v>
      </c>
      <c r="B79" s="2" t="s">
        <v>2</v>
      </c>
      <c r="C79" s="4">
        <v>6</v>
      </c>
      <c r="D79" s="42">
        <v>1</v>
      </c>
      <c r="E79" s="24"/>
      <c r="F79" s="5">
        <v>1</v>
      </c>
      <c r="G79" s="2" t="s">
        <v>3</v>
      </c>
      <c r="H79" s="4">
        <v>7</v>
      </c>
      <c r="I79" s="42">
        <v>1</v>
      </c>
      <c r="J79" s="24"/>
      <c r="K79" s="5">
        <v>1</v>
      </c>
      <c r="L79" s="2" t="s">
        <v>1</v>
      </c>
      <c r="M79" s="4">
        <v>80</v>
      </c>
      <c r="N79" s="42">
        <v>1</v>
      </c>
      <c r="O79" s="8"/>
      <c r="P79" s="8"/>
      <c r="Q79" s="8"/>
    </row>
    <row r="80" spans="1:17" x14ac:dyDescent="0.25">
      <c r="A80" s="5">
        <v>2</v>
      </c>
      <c r="B80" s="2" t="s">
        <v>1</v>
      </c>
      <c r="C80" s="4">
        <v>4</v>
      </c>
      <c r="D80" s="42"/>
      <c r="E80" s="24"/>
      <c r="F80" s="5">
        <v>1</v>
      </c>
      <c r="G80" s="2" t="s">
        <v>0</v>
      </c>
      <c r="H80" s="4">
        <v>7</v>
      </c>
      <c r="I80" s="42">
        <v>1</v>
      </c>
      <c r="J80" s="24"/>
      <c r="K80" s="5">
        <v>2</v>
      </c>
      <c r="L80" s="2" t="s">
        <v>2</v>
      </c>
      <c r="M80" s="4">
        <v>100</v>
      </c>
      <c r="N80" s="42"/>
      <c r="O80" s="8"/>
      <c r="P80" s="8"/>
      <c r="Q80" s="8"/>
    </row>
    <row r="81" spans="1:17" x14ac:dyDescent="0.25">
      <c r="A81" s="5">
        <v>2</v>
      </c>
      <c r="B81" s="2" t="s">
        <v>3</v>
      </c>
      <c r="C81" s="4">
        <v>4</v>
      </c>
      <c r="D81" s="42"/>
      <c r="E81" s="24"/>
      <c r="F81" s="5">
        <v>1</v>
      </c>
      <c r="G81" s="2" t="s">
        <v>2</v>
      </c>
      <c r="H81" s="4">
        <v>7</v>
      </c>
      <c r="I81" s="42">
        <v>1</v>
      </c>
      <c r="J81" s="24"/>
      <c r="K81" s="5">
        <v>3</v>
      </c>
      <c r="L81" s="2" t="s">
        <v>3</v>
      </c>
      <c r="M81" s="4">
        <v>120</v>
      </c>
      <c r="N81" s="42"/>
      <c r="O81" s="8"/>
      <c r="P81" s="8"/>
      <c r="Q81" s="8"/>
    </row>
    <row r="82" spans="1:17" x14ac:dyDescent="0.25">
      <c r="A82" s="5">
        <v>4</v>
      </c>
      <c r="B82" s="2" t="s">
        <v>0</v>
      </c>
      <c r="C82" s="4">
        <v>2</v>
      </c>
      <c r="D82" s="42"/>
      <c r="E82" s="24"/>
      <c r="F82" s="5">
        <v>1</v>
      </c>
      <c r="G82" s="2" t="s">
        <v>1</v>
      </c>
      <c r="H82" s="4">
        <v>7</v>
      </c>
      <c r="I82" s="42">
        <v>1</v>
      </c>
      <c r="J82" s="24"/>
      <c r="K82" s="5">
        <v>4</v>
      </c>
      <c r="L82" s="2" t="s">
        <v>0</v>
      </c>
      <c r="M82" s="4">
        <v>280</v>
      </c>
      <c r="N82" s="42"/>
      <c r="O82" s="8"/>
      <c r="P82" s="8"/>
      <c r="Q82" s="8"/>
    </row>
    <row r="83" spans="1:17" x14ac:dyDescent="0.25">
      <c r="A83" s="11"/>
      <c r="B83" s="11"/>
      <c r="C83" s="11"/>
      <c r="D83" s="11"/>
      <c r="E83" s="8"/>
      <c r="F83" s="11"/>
      <c r="G83" s="11"/>
      <c r="H83" s="11"/>
      <c r="I83" s="11"/>
      <c r="J83" s="8"/>
      <c r="K83" s="11"/>
      <c r="L83" s="11"/>
      <c r="M83" s="11"/>
      <c r="N83" s="11"/>
      <c r="O83" s="8"/>
      <c r="P83" s="8"/>
      <c r="Q83" s="8"/>
    </row>
    <row r="84" spans="1:17" ht="25.5" customHeight="1" x14ac:dyDescent="0.25">
      <c r="A84" s="14" t="s">
        <v>7</v>
      </c>
      <c r="B84" s="14" t="s">
        <v>4</v>
      </c>
      <c r="C84" s="14" t="s">
        <v>16</v>
      </c>
      <c r="D84" s="14" t="s">
        <v>24</v>
      </c>
      <c r="E84" s="8"/>
      <c r="F84" s="14" t="s">
        <v>7</v>
      </c>
      <c r="G84" s="14" t="s">
        <v>4</v>
      </c>
      <c r="H84" s="14" t="s">
        <v>53</v>
      </c>
      <c r="I84" s="14" t="s">
        <v>24</v>
      </c>
      <c r="J84" s="8"/>
      <c r="K84" s="14" t="s">
        <v>7</v>
      </c>
      <c r="L84" s="14" t="s">
        <v>4</v>
      </c>
      <c r="M84" s="14" t="s">
        <v>54</v>
      </c>
      <c r="N84" s="14" t="s">
        <v>24</v>
      </c>
      <c r="O84" s="8"/>
      <c r="P84" s="8"/>
      <c r="Q84" s="8"/>
    </row>
    <row r="85" spans="1:17" x14ac:dyDescent="0.25">
      <c r="A85" s="5">
        <v>1</v>
      </c>
      <c r="B85" s="2" t="s">
        <v>1</v>
      </c>
      <c r="C85" s="44">
        <v>11.428571428571429</v>
      </c>
      <c r="D85" s="42">
        <v>1</v>
      </c>
      <c r="E85" s="24"/>
      <c r="F85" s="5">
        <v>1</v>
      </c>
      <c r="G85" s="2" t="s">
        <v>1</v>
      </c>
      <c r="H85" s="4">
        <v>11</v>
      </c>
      <c r="I85" s="42">
        <v>1</v>
      </c>
      <c r="J85" s="8"/>
      <c r="K85" s="5">
        <v>1</v>
      </c>
      <c r="L85" s="2" t="s">
        <v>1</v>
      </c>
      <c r="M85" s="4">
        <v>4</v>
      </c>
      <c r="N85" s="42">
        <v>1</v>
      </c>
      <c r="O85" s="8"/>
      <c r="P85" s="8"/>
      <c r="Q85" s="60"/>
    </row>
    <row r="86" spans="1:17" x14ac:dyDescent="0.25">
      <c r="A86" s="5">
        <v>2</v>
      </c>
      <c r="B86" s="2" t="s">
        <v>2</v>
      </c>
      <c r="C86" s="44">
        <v>14.285714285714286</v>
      </c>
      <c r="D86" s="42"/>
      <c r="E86" s="24"/>
      <c r="F86" s="5">
        <v>1</v>
      </c>
      <c r="G86" s="2" t="s">
        <v>2</v>
      </c>
      <c r="H86" s="4">
        <v>11</v>
      </c>
      <c r="I86" s="42">
        <v>1</v>
      </c>
      <c r="J86" s="8"/>
      <c r="K86" s="5">
        <v>1</v>
      </c>
      <c r="L86" s="2" t="s">
        <v>3</v>
      </c>
      <c r="M86" s="4">
        <v>4</v>
      </c>
      <c r="N86" s="42">
        <v>1</v>
      </c>
      <c r="O86" s="8"/>
      <c r="P86" s="8"/>
      <c r="Q86" s="60"/>
    </row>
    <row r="87" spans="1:17" x14ac:dyDescent="0.25">
      <c r="A87" s="5">
        <v>3</v>
      </c>
      <c r="B87" s="2" t="s">
        <v>3</v>
      </c>
      <c r="C87" s="44">
        <v>17.142857142857142</v>
      </c>
      <c r="D87" s="42"/>
      <c r="E87" s="24"/>
      <c r="F87" s="5">
        <v>3</v>
      </c>
      <c r="G87" s="2" t="s">
        <v>3</v>
      </c>
      <c r="H87" s="4">
        <v>10</v>
      </c>
      <c r="I87" s="42"/>
      <c r="J87" s="8"/>
      <c r="K87" s="5">
        <v>3</v>
      </c>
      <c r="L87" s="2" t="s">
        <v>0</v>
      </c>
      <c r="M87" s="4">
        <v>5</v>
      </c>
      <c r="N87" s="42"/>
      <c r="O87" s="8"/>
      <c r="P87" s="8"/>
      <c r="Q87" s="60"/>
    </row>
    <row r="88" spans="1:17" x14ac:dyDescent="0.25">
      <c r="A88" s="5">
        <v>4</v>
      </c>
      <c r="B88" s="2" t="s">
        <v>0</v>
      </c>
      <c r="C88" s="44">
        <v>40</v>
      </c>
      <c r="D88" s="42"/>
      <c r="E88" s="24"/>
      <c r="F88" s="5">
        <v>4</v>
      </c>
      <c r="G88" s="2" t="s">
        <v>0</v>
      </c>
      <c r="H88" s="4">
        <v>8</v>
      </c>
      <c r="I88" s="42"/>
      <c r="J88" s="8"/>
      <c r="K88" s="5">
        <v>4</v>
      </c>
      <c r="L88" s="2" t="s">
        <v>2</v>
      </c>
      <c r="M88" s="4">
        <v>6</v>
      </c>
      <c r="N88" s="42"/>
      <c r="O88" s="8"/>
      <c r="P88" s="8"/>
      <c r="Q88" s="60"/>
    </row>
    <row r="89" spans="1:17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8"/>
      <c r="L89" s="8"/>
      <c r="M89" s="8"/>
      <c r="N89" s="8"/>
      <c r="O89" s="8"/>
      <c r="P89" s="8"/>
      <c r="Q89" s="60"/>
    </row>
    <row r="90" spans="1:17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8"/>
      <c r="L90" s="8"/>
      <c r="M90" s="8"/>
      <c r="N90" s="8"/>
      <c r="O90" s="8"/>
      <c r="P90" s="8"/>
      <c r="Q90" s="60"/>
    </row>
    <row r="91" spans="1:17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8"/>
      <c r="L91" s="8"/>
      <c r="M91" s="8"/>
      <c r="N91" s="8"/>
      <c r="O91" s="8"/>
      <c r="P91" s="8"/>
      <c r="Q91" s="60"/>
    </row>
    <row r="92" spans="1:17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60"/>
    </row>
    <row r="93" spans="1:17" x14ac:dyDescent="0.25">
      <c r="A93" s="7" t="s">
        <v>55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60"/>
    </row>
    <row r="94" spans="1:17" x14ac:dyDescent="0.25">
      <c r="A94" s="10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60"/>
    </row>
    <row r="95" spans="1:17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60"/>
    </row>
    <row r="96" spans="1:17" x14ac:dyDescent="0.25">
      <c r="A96" s="61" t="s">
        <v>0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60"/>
    </row>
    <row r="97" spans="1:19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60"/>
    </row>
    <row r="98" spans="1:19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60"/>
    </row>
    <row r="99" spans="1:19" x14ac:dyDescent="0.25">
      <c r="A99" s="61" t="s">
        <v>1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60"/>
    </row>
    <row r="100" spans="1:19" x14ac:dyDescent="0.25">
      <c r="A100" s="61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60"/>
    </row>
    <row r="101" spans="1:19" x14ac:dyDescent="0.25">
      <c r="A101" s="6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60"/>
    </row>
    <row r="102" spans="1:19" x14ac:dyDescent="0.25">
      <c r="A102" s="61" t="s">
        <v>2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60"/>
    </row>
    <row r="103" spans="1:19" x14ac:dyDescent="0.25">
      <c r="A103" s="6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60"/>
    </row>
    <row r="104" spans="1:19" x14ac:dyDescent="0.25">
      <c r="A104" s="6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60"/>
    </row>
    <row r="105" spans="1:19" x14ac:dyDescent="0.25">
      <c r="A105" s="61" t="s">
        <v>3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60"/>
    </row>
    <row r="106" spans="1:19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60"/>
    </row>
    <row r="107" spans="1:19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60"/>
    </row>
    <row r="108" spans="1:19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</row>
    <row r="109" spans="1:19" ht="15.75" thickBot="1" x14ac:dyDescent="0.3">
      <c r="D109" s="8"/>
      <c r="E109" s="8"/>
      <c r="F109" s="10"/>
      <c r="G109" s="10"/>
      <c r="H109" s="10"/>
      <c r="I109" s="10"/>
      <c r="J109" s="10"/>
      <c r="K109" s="8"/>
      <c r="L109" s="8"/>
      <c r="M109" s="8"/>
      <c r="N109" s="8"/>
      <c r="O109" s="8"/>
      <c r="P109" s="8"/>
      <c r="Q109" s="60"/>
    </row>
    <row r="110" spans="1:19" s="49" customFormat="1" x14ac:dyDescent="0.25">
      <c r="A110" s="45" t="s">
        <v>7</v>
      </c>
      <c r="B110" s="17" t="s">
        <v>4</v>
      </c>
      <c r="C110" s="18" t="s">
        <v>9</v>
      </c>
      <c r="K110" s="8"/>
      <c r="L110" s="8"/>
      <c r="M110" s="8"/>
      <c r="N110" s="8"/>
      <c r="O110" s="8"/>
      <c r="P110" s="8"/>
      <c r="Q110" s="60"/>
      <c r="S110"/>
    </row>
    <row r="111" spans="1:19" x14ac:dyDescent="0.25">
      <c r="A111" s="46">
        <f t="shared" ref="A111:A114" si="0">_xlfn.RANK.EQ(C111,$C$111:$C$118,0)</f>
        <v>4</v>
      </c>
      <c r="B111" s="2" t="s">
        <v>0</v>
      </c>
      <c r="C111" s="20">
        <f>SUMIFS($D$17:$D$91,$B$17:$B$91,B111)+SUMIFS($I$17:$I$91,$G$17:$G$91,B111)+SUMIFS($N$17:$N$91,$L$17:$L$91,B111)</f>
        <v>2</v>
      </c>
      <c r="K111" s="8"/>
      <c r="L111" s="8"/>
      <c r="M111" s="8"/>
      <c r="N111" s="8"/>
      <c r="O111" s="8"/>
      <c r="P111" s="8"/>
      <c r="Q111" s="60"/>
    </row>
    <row r="112" spans="1:19" x14ac:dyDescent="0.25">
      <c r="A112" s="46">
        <f t="shared" si="0"/>
        <v>1</v>
      </c>
      <c r="B112" s="2" t="s">
        <v>1</v>
      </c>
      <c r="C112" s="20">
        <f>SUMIFS($D$17:$D$91,$B$17:$B$91,B112)+SUMIFS($I$17:$I$91,$G$17:$G$91,B112)+SUMIFS($N$17:$N$91,$L$17:$L$91,B112)</f>
        <v>16</v>
      </c>
      <c r="K112" s="8"/>
      <c r="L112" s="8"/>
      <c r="M112" s="8"/>
      <c r="N112" s="8"/>
      <c r="O112" s="8"/>
      <c r="P112" s="8"/>
      <c r="Q112" s="60"/>
    </row>
    <row r="113" spans="1:34" x14ac:dyDescent="0.25">
      <c r="A113" s="46">
        <f t="shared" si="0"/>
        <v>3</v>
      </c>
      <c r="B113" s="2" t="s">
        <v>2</v>
      </c>
      <c r="C113" s="20">
        <f>SUMIFS($D$17:$D$91,$B$17:$B$91,B113)+SUMIFS($I$17:$I$91,$G$17:$G$91,B113)+SUMIFS($N$17:$N$91,$L$17:$L$91,B113)</f>
        <v>6</v>
      </c>
    </row>
    <row r="114" spans="1:34" x14ac:dyDescent="0.25">
      <c r="A114" s="46">
        <f t="shared" si="0"/>
        <v>2</v>
      </c>
      <c r="B114" s="2" t="s">
        <v>3</v>
      </c>
      <c r="C114" s="20">
        <f>SUMIFS($D$17:$D$91,$B$17:$B$91,B114)+SUMIFS($I$17:$I$91,$G$17:$G$91,B114)+SUMIFS($N$17:$N$91,$L$17:$L$91,B114)</f>
        <v>14</v>
      </c>
    </row>
    <row r="115" spans="1:34" x14ac:dyDescent="0.25">
      <c r="A115" s="46"/>
      <c r="B115" s="2"/>
      <c r="C115" s="20"/>
    </row>
    <row r="116" spans="1:34" x14ac:dyDescent="0.25">
      <c r="A116" s="46"/>
      <c r="B116" s="2"/>
      <c r="C116" s="20"/>
    </row>
    <row r="117" spans="1:34" x14ac:dyDescent="0.25">
      <c r="A117" s="46"/>
      <c r="B117" s="2"/>
      <c r="C117" s="20"/>
    </row>
    <row r="118" spans="1:34" ht="15.75" thickBot="1" x14ac:dyDescent="0.3">
      <c r="A118" s="56"/>
      <c r="B118" s="55"/>
      <c r="C118" s="57"/>
    </row>
    <row r="120" spans="1:34" x14ac:dyDescent="0.25">
      <c r="A120" s="1" t="s">
        <v>52</v>
      </c>
    </row>
    <row r="122" spans="1:34" x14ac:dyDescent="0.25">
      <c r="A122" s="49"/>
      <c r="B122" s="3">
        <v>1</v>
      </c>
      <c r="C122" s="3">
        <v>2</v>
      </c>
      <c r="D122" s="3">
        <v>3</v>
      </c>
      <c r="E122" s="3">
        <v>4</v>
      </c>
      <c r="F122" s="3">
        <v>5</v>
      </c>
      <c r="G122" s="3">
        <v>6</v>
      </c>
      <c r="H122" s="3">
        <v>7</v>
      </c>
      <c r="I122" s="3">
        <v>8</v>
      </c>
      <c r="J122" s="3">
        <v>9</v>
      </c>
      <c r="K122" s="3">
        <v>10</v>
      </c>
      <c r="L122" s="3">
        <v>11</v>
      </c>
      <c r="M122" s="3">
        <v>12</v>
      </c>
      <c r="N122" s="3">
        <v>13</v>
      </c>
      <c r="O122" s="3">
        <v>14</v>
      </c>
      <c r="P122" s="3">
        <v>15</v>
      </c>
      <c r="Q122" s="3">
        <v>16</v>
      </c>
      <c r="R122" s="3">
        <v>17</v>
      </c>
      <c r="S122" s="3">
        <v>18</v>
      </c>
      <c r="T122" s="3">
        <v>19</v>
      </c>
      <c r="U122" s="3">
        <v>20</v>
      </c>
      <c r="V122" s="3">
        <v>21</v>
      </c>
      <c r="W122" s="3">
        <v>22</v>
      </c>
      <c r="X122" s="3">
        <v>23</v>
      </c>
      <c r="Y122" s="3">
        <v>24</v>
      </c>
      <c r="Z122" s="3">
        <v>25</v>
      </c>
      <c r="AA122" s="3">
        <v>26</v>
      </c>
      <c r="AB122" s="3">
        <v>27</v>
      </c>
      <c r="AC122" s="3">
        <v>28</v>
      </c>
      <c r="AD122" s="3">
        <v>29</v>
      </c>
      <c r="AE122" s="3">
        <v>30</v>
      </c>
      <c r="AF122" s="3">
        <v>31</v>
      </c>
      <c r="AG122" s="3">
        <v>32</v>
      </c>
      <c r="AH122" s="3">
        <v>33</v>
      </c>
    </row>
    <row r="123" spans="1:34" x14ac:dyDescent="0.25">
      <c r="A123" s="2" t="s">
        <v>0</v>
      </c>
      <c r="B123" s="5">
        <v>-1</v>
      </c>
      <c r="C123" s="5">
        <v>-1</v>
      </c>
      <c r="D123" s="5">
        <v>0</v>
      </c>
      <c r="E123" s="5">
        <v>1</v>
      </c>
      <c r="F123" s="5">
        <v>-1</v>
      </c>
      <c r="G123" s="5">
        <v>-1</v>
      </c>
      <c r="H123" s="5">
        <v>-1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</row>
    <row r="124" spans="1:34" x14ac:dyDescent="0.25">
      <c r="A124" s="2" t="s">
        <v>1</v>
      </c>
      <c r="B124" s="5">
        <v>-1</v>
      </c>
      <c r="C124" s="5">
        <v>-1</v>
      </c>
      <c r="D124" s="5">
        <v>0</v>
      </c>
      <c r="E124" s="5">
        <v>-1</v>
      </c>
      <c r="F124" s="5">
        <v>1</v>
      </c>
      <c r="G124" s="5">
        <v>1</v>
      </c>
      <c r="H124" s="5">
        <v>1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</row>
    <row r="125" spans="1:34" x14ac:dyDescent="0.25">
      <c r="A125" s="2" t="s">
        <v>2</v>
      </c>
      <c r="B125" s="5">
        <v>1</v>
      </c>
      <c r="C125" s="5">
        <v>1</v>
      </c>
      <c r="D125" s="5">
        <v>0</v>
      </c>
      <c r="E125" s="5">
        <v>1</v>
      </c>
      <c r="F125" s="5">
        <v>1</v>
      </c>
      <c r="G125" s="5">
        <v>-1</v>
      </c>
      <c r="H125" s="5">
        <v>1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 spans="1:34" x14ac:dyDescent="0.25">
      <c r="A126" s="2" t="s">
        <v>3</v>
      </c>
      <c r="B126" s="5">
        <v>1</v>
      </c>
      <c r="C126" s="5">
        <v>1</v>
      </c>
      <c r="D126" s="5">
        <v>0</v>
      </c>
      <c r="E126" s="5">
        <v>-1</v>
      </c>
      <c r="F126" s="5">
        <v>-1</v>
      </c>
      <c r="G126" s="5">
        <v>1</v>
      </c>
      <c r="H126" s="5">
        <v>-1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9" spans="1:34" x14ac:dyDescent="0.25">
      <c r="A129" s="47" t="s">
        <v>41</v>
      </c>
    </row>
    <row r="131" spans="1:34" s="49" customFormat="1" x14ac:dyDescent="0.25">
      <c r="B131" s="58" t="s">
        <v>56</v>
      </c>
      <c r="C131" s="58" t="s">
        <v>58</v>
      </c>
      <c r="D131" s="58" t="s">
        <v>59</v>
      </c>
      <c r="E131" s="58" t="s">
        <v>60</v>
      </c>
      <c r="F131" s="58" t="s">
        <v>61</v>
      </c>
      <c r="G131" s="58" t="s">
        <v>63</v>
      </c>
      <c r="H131" s="58" t="s">
        <v>62</v>
      </c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0"/>
      <c r="U131" s="50"/>
      <c r="V131" s="50"/>
      <c r="W131" s="50"/>
      <c r="X131" s="50"/>
      <c r="Y131" s="58"/>
      <c r="Z131" s="58"/>
      <c r="AA131" s="50"/>
      <c r="AB131" s="50"/>
      <c r="AC131" s="50"/>
      <c r="AD131" s="50"/>
      <c r="AE131" s="50"/>
      <c r="AF131" s="50"/>
      <c r="AG131" s="50"/>
      <c r="AH131" s="50"/>
    </row>
    <row r="132" spans="1:34" x14ac:dyDescent="0.25">
      <c r="A132" s="48" t="s">
        <v>0</v>
      </c>
      <c r="B132" s="5">
        <v>3</v>
      </c>
      <c r="C132" s="5">
        <v>2</v>
      </c>
      <c r="D132" s="5">
        <v>5</v>
      </c>
      <c r="E132" s="5">
        <v>5</v>
      </c>
      <c r="F132" s="5">
        <v>4</v>
      </c>
      <c r="G132" s="5">
        <v>4</v>
      </c>
      <c r="H132" s="5">
        <v>2</v>
      </c>
      <c r="I132" s="5"/>
      <c r="J132" s="5"/>
      <c r="K132" s="5"/>
      <c r="L132" s="5"/>
      <c r="M132" s="5"/>
      <c r="N132" s="63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</row>
    <row r="133" spans="1:34" x14ac:dyDescent="0.25">
      <c r="A133" s="48" t="s">
        <v>1</v>
      </c>
      <c r="B133" s="5">
        <v>3</v>
      </c>
      <c r="C133" s="5">
        <v>1</v>
      </c>
      <c r="D133" s="5">
        <v>3</v>
      </c>
      <c r="E133" s="5">
        <v>2</v>
      </c>
      <c r="F133" s="5">
        <v>4</v>
      </c>
      <c r="G133" s="5">
        <v>17</v>
      </c>
      <c r="H133" s="5">
        <v>16</v>
      </c>
      <c r="I133" s="5"/>
      <c r="J133" s="5"/>
      <c r="K133" s="5"/>
      <c r="L133" s="5"/>
      <c r="M133" s="5"/>
      <c r="N133" s="63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</row>
    <row r="134" spans="1:34" x14ac:dyDescent="0.25">
      <c r="A134" s="48" t="s">
        <v>2</v>
      </c>
      <c r="B134" s="5">
        <v>14</v>
      </c>
      <c r="C134" s="5">
        <v>16</v>
      </c>
      <c r="D134" s="5">
        <v>16</v>
      </c>
      <c r="E134" s="5">
        <v>13</v>
      </c>
      <c r="F134" s="5">
        <v>15</v>
      </c>
      <c r="G134" s="5">
        <v>6</v>
      </c>
      <c r="H134" s="5">
        <v>6</v>
      </c>
      <c r="I134" s="5"/>
      <c r="J134" s="5"/>
      <c r="K134" s="5"/>
      <c r="L134" s="5"/>
      <c r="M134" s="5"/>
      <c r="N134" s="63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</row>
    <row r="135" spans="1:34" x14ac:dyDescent="0.25">
      <c r="A135" s="48" t="s">
        <v>3</v>
      </c>
      <c r="B135" s="5">
        <v>22</v>
      </c>
      <c r="C135" s="5">
        <v>25</v>
      </c>
      <c r="D135" s="5">
        <v>24</v>
      </c>
      <c r="E135" s="5">
        <v>14</v>
      </c>
      <c r="F135" s="5">
        <v>12</v>
      </c>
      <c r="G135" s="5">
        <v>17</v>
      </c>
      <c r="H135" s="5">
        <v>14</v>
      </c>
      <c r="I135" s="5"/>
      <c r="J135" s="5"/>
      <c r="K135" s="5"/>
      <c r="L135" s="5"/>
      <c r="M135" s="5"/>
      <c r="N135" s="63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</row>
    <row r="136" spans="1:34" x14ac:dyDescent="0.25">
      <c r="A136" s="2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63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</row>
    <row r="137" spans="1:34" x14ac:dyDescent="0.25">
      <c r="A137" s="48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63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</row>
    <row r="138" spans="1:34" x14ac:dyDescent="0.25">
      <c r="A138" s="48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</row>
    <row r="139" spans="1:34" x14ac:dyDescent="0.25">
      <c r="A139" s="48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</row>
  </sheetData>
  <conditionalFormatting sqref="A132:A139">
    <cfRule type="containsText" dxfId="34" priority="1176" operator="containsText" text="DOPPEL">
      <formula>NOT(ISERROR(SEARCH("DOPPEL",A132)))</formula>
    </cfRule>
  </conditionalFormatting>
  <conditionalFormatting sqref="A110:C118">
    <cfRule type="containsText" dxfId="33" priority="1135" operator="containsText" text="DOPPEL">
      <formula>NOT(ISERROR(SEARCH("DOPPEL",A110)))</formula>
    </cfRule>
  </conditionalFormatting>
  <conditionalFormatting sqref="A16:D20">
    <cfRule type="containsText" dxfId="32" priority="59" operator="containsText" text="DOPPEL">
      <formula>NOT(ISERROR(SEARCH("DOPPEL",A16)))</formula>
    </cfRule>
  </conditionalFormatting>
  <conditionalFormatting sqref="A22:D27">
    <cfRule type="containsText" dxfId="31" priority="24" operator="containsText" text="DOPPEL">
      <formula>NOT(ISERROR(SEARCH("DOPPEL",A22)))</formula>
    </cfRule>
  </conditionalFormatting>
  <conditionalFormatting sqref="A30:D34">
    <cfRule type="containsText" dxfId="30" priority="41" operator="containsText" text="DOPPEL">
      <formula>NOT(ISERROR(SEARCH("DOPPEL",A30)))</formula>
    </cfRule>
  </conditionalFormatting>
  <conditionalFormatting sqref="A38:D42">
    <cfRule type="containsText" dxfId="29" priority="38" operator="containsText" text="DOPPEL">
      <formula>NOT(ISERROR(SEARCH("DOPPEL",A38)))</formula>
    </cfRule>
  </conditionalFormatting>
  <conditionalFormatting sqref="A44:D48">
    <cfRule type="containsText" dxfId="28" priority="14" operator="containsText" text="DOPPEL">
      <formula>NOT(ISERROR(SEARCH("DOPPEL",A44)))</formula>
    </cfRule>
  </conditionalFormatting>
  <conditionalFormatting sqref="A52:D56">
    <cfRule type="containsText" dxfId="27" priority="390" operator="containsText" text="DOPPEL">
      <formula>NOT(ISERROR(SEARCH("DOPPEL",A52)))</formula>
    </cfRule>
  </conditionalFormatting>
  <conditionalFormatting sqref="A58:D62">
    <cfRule type="containsText" dxfId="26" priority="9" operator="containsText" text="DOPPEL">
      <formula>NOT(ISERROR(SEARCH("DOPPEL",A58)))</formula>
    </cfRule>
  </conditionalFormatting>
  <conditionalFormatting sqref="A64:D68">
    <cfRule type="containsText" dxfId="25" priority="8" operator="containsText" text="DOPPEL">
      <formula>NOT(ISERROR(SEARCH("DOPPEL",A64)))</formula>
    </cfRule>
  </conditionalFormatting>
  <conditionalFormatting sqref="A70:D74">
    <cfRule type="containsText" dxfId="24" priority="4" operator="containsText" text="DOPPEL">
      <formula>NOT(ISERROR(SEARCH("DOPPEL",A70)))</formula>
    </cfRule>
  </conditionalFormatting>
  <conditionalFormatting sqref="A78:D82">
    <cfRule type="containsText" dxfId="23" priority="1" operator="containsText" text="DOPPEL">
      <formula>NOT(ISERROR(SEARCH("DOPPEL",A78)))</formula>
    </cfRule>
  </conditionalFormatting>
  <conditionalFormatting sqref="A84:D88">
    <cfRule type="containsText" dxfId="22" priority="17" operator="containsText" text="DOPPEL">
      <formula>NOT(ISERROR(SEARCH("DOPPEL",A84)))</formula>
    </cfRule>
  </conditionalFormatting>
  <conditionalFormatting sqref="F7:I11">
    <cfRule type="containsText" dxfId="21" priority="208" operator="containsText" text="DOPPEL">
      <formula>NOT(ISERROR(SEARCH("DOPPEL",F7)))</formula>
    </cfRule>
  </conditionalFormatting>
  <conditionalFormatting sqref="F16:I20">
    <cfRule type="containsText" dxfId="20" priority="44" operator="containsText" text="DOPPEL">
      <formula>NOT(ISERROR(SEARCH("DOPPEL",F16)))</formula>
    </cfRule>
  </conditionalFormatting>
  <conditionalFormatting sqref="F22:I26">
    <cfRule type="containsText" dxfId="19" priority="10" operator="containsText" text="DOPPEL">
      <formula>NOT(ISERROR(SEARCH("DOPPEL",F22)))</formula>
    </cfRule>
  </conditionalFormatting>
  <conditionalFormatting sqref="F30:I34">
    <cfRule type="containsText" dxfId="18" priority="40" operator="containsText" text="DOPPEL">
      <formula>NOT(ISERROR(SEARCH("DOPPEL",F30)))</formula>
    </cfRule>
  </conditionalFormatting>
  <conditionalFormatting sqref="F38:I42">
    <cfRule type="containsText" dxfId="17" priority="37" operator="containsText" text="DOPPEL">
      <formula>NOT(ISERROR(SEARCH("DOPPEL",F38)))</formula>
    </cfRule>
  </conditionalFormatting>
  <conditionalFormatting sqref="F44:I48">
    <cfRule type="containsText" dxfId="16" priority="35" operator="containsText" text="DOPPEL">
      <formula>NOT(ISERROR(SEARCH("DOPPEL",F44)))</formula>
    </cfRule>
  </conditionalFormatting>
  <conditionalFormatting sqref="F52:I56">
    <cfRule type="containsText" dxfId="15" priority="21" operator="containsText" text="DOPPEL">
      <formula>NOT(ISERROR(SEARCH("DOPPEL",F52)))</formula>
    </cfRule>
  </conditionalFormatting>
  <conditionalFormatting sqref="F58:I62">
    <cfRule type="containsText" dxfId="14" priority="137" operator="containsText" text="DOPPEL">
      <formula>NOT(ISERROR(SEARCH("DOPPEL",F58)))</formula>
    </cfRule>
  </conditionalFormatting>
  <conditionalFormatting sqref="F64:I68">
    <cfRule type="containsText" dxfId="13" priority="7" operator="containsText" text="DOPPEL">
      <formula>NOT(ISERROR(SEARCH("DOPPEL",F64)))</formula>
    </cfRule>
  </conditionalFormatting>
  <conditionalFormatting sqref="F70:I74">
    <cfRule type="containsText" dxfId="12" priority="2" operator="containsText" text="DOPPEL">
      <formula>NOT(ISERROR(SEARCH("DOPPEL",F70)))</formula>
    </cfRule>
  </conditionalFormatting>
  <conditionalFormatting sqref="F78:I82">
    <cfRule type="containsText" dxfId="11" priority="19" operator="containsText" text="DOPPEL">
      <formula>NOT(ISERROR(SEARCH("DOPPEL",F78)))</formula>
    </cfRule>
  </conditionalFormatting>
  <conditionalFormatting sqref="F84:I88">
    <cfRule type="containsText" dxfId="10" priority="12" operator="containsText" text="DOPPEL">
      <formula>NOT(ISERROR(SEARCH("DOPPEL",F84)))</formula>
    </cfRule>
  </conditionalFormatting>
  <conditionalFormatting sqref="K16:N20">
    <cfRule type="containsText" dxfId="9" priority="25" operator="containsText" text="DOPPEL">
      <formula>NOT(ISERROR(SEARCH("DOPPEL",K16)))</formula>
    </cfRule>
  </conditionalFormatting>
  <conditionalFormatting sqref="K22:N26">
    <cfRule type="containsText" dxfId="8" priority="329" operator="containsText" text="DOPPEL">
      <formula>NOT(ISERROR(SEARCH("DOPPEL",K22)))</formula>
    </cfRule>
  </conditionalFormatting>
  <conditionalFormatting sqref="K30:N34">
    <cfRule type="containsText" dxfId="7" priority="39" operator="containsText" text="DOPPEL">
      <formula>NOT(ISERROR(SEARCH("DOPPEL",K30)))</formula>
    </cfRule>
  </conditionalFormatting>
  <conditionalFormatting sqref="K38:N42">
    <cfRule type="containsText" dxfId="6" priority="143" operator="containsText" text="DOPPEL">
      <formula>NOT(ISERROR(SEARCH("DOPPEL",K38)))</formula>
    </cfRule>
  </conditionalFormatting>
  <conditionalFormatting sqref="K44:N48">
    <cfRule type="containsText" dxfId="5" priority="30" operator="containsText" text="DOPPEL">
      <formula>NOT(ISERROR(SEARCH("DOPPEL",K44)))</formula>
    </cfRule>
  </conditionalFormatting>
  <conditionalFormatting sqref="K52:N56">
    <cfRule type="containsText" dxfId="4" priority="378" operator="containsText" text="DOPPEL">
      <formula>NOT(ISERROR(SEARCH("DOPPEL",K52)))</formula>
    </cfRule>
  </conditionalFormatting>
  <conditionalFormatting sqref="K58:N62">
    <cfRule type="containsText" dxfId="3" priority="13" operator="containsText" text="DOPPEL">
      <formula>NOT(ISERROR(SEARCH("DOPPEL",K58)))</formula>
    </cfRule>
  </conditionalFormatting>
  <conditionalFormatting sqref="K64:N68">
    <cfRule type="containsText" dxfId="2" priority="6" operator="containsText" text="DOPPEL">
      <formula>NOT(ISERROR(SEARCH("DOPPEL",K64)))</formula>
    </cfRule>
  </conditionalFormatting>
  <conditionalFormatting sqref="K78:N82">
    <cfRule type="containsText" dxfId="1" priority="18" operator="containsText" text="DOPPEL">
      <formula>NOT(ISERROR(SEARCH("DOPPEL",K78)))</formula>
    </cfRule>
  </conditionalFormatting>
  <conditionalFormatting sqref="K84:N88">
    <cfRule type="containsText" dxfId="0" priority="11" operator="containsText" text="DOPPEL">
      <formula>NOT(ISERROR(SEARCH("DOPPEL",K84)))</formula>
    </cfRule>
  </conditionalFormatting>
  <pageMargins left="0.23622047244094491" right="0.23622047244094491" top="0.74803149606299213" bottom="0.74803149606299213" header="0.31496062992125984" footer="0.31496062992125984"/>
  <pageSetup scale="50" orientation="portrait" horizontalDpi="360" verticalDpi="360" r:id="rId1"/>
  <rowBreaks count="1" manualBreakCount="1">
    <brk id="75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Gesamtranking Print</vt:lpstr>
      <vt:lpstr>'Gesamtranking Print'!Druckbereich</vt:lpstr>
    </vt:vector>
  </TitlesOfParts>
  <Company>TXGroup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Keller Yves</dc:creator>
  <cp:lastModifiedBy>Yves Keller</cp:lastModifiedBy>
  <cp:lastPrinted>2026-06-09T08:20:15Z</cp:lastPrinted>
  <dcterms:created xsi:type="dcterms:W3CDTF">2021-03-09T08:40:47Z</dcterms:created>
  <dcterms:modified xsi:type="dcterms:W3CDTF">2026-06-09T15:15:25Z</dcterms:modified>
</cp:coreProperties>
</file>